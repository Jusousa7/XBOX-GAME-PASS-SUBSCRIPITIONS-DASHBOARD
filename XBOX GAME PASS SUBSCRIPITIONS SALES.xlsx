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jusou\Downloads\"/>
    </mc:Choice>
  </mc:AlternateContent>
  <xr:revisionPtr revIDLastSave="0" documentId="8_{42BC4E58-34EB-422E-9E50-F2DB7CA22F52}" xr6:coauthVersionLast="47" xr6:coauthVersionMax="47" xr10:uidLastSave="{00000000-0000-0000-0000-000000000000}"/>
  <bookViews>
    <workbookView xWindow="-120" yWindow="-120" windowWidth="20730" windowHeight="11040" tabRatio="0" activeTab="3" xr2:uid="{28DD5B76-0634-4F87-BE60-8BFA7EF2E23B}"/>
  </bookViews>
  <sheets>
    <sheet name="A̳ssets" sheetId="1" r:id="rId1"/>
    <sheet name="B̳ases" sheetId="2" r:id="rId2"/>
    <sheet name="C̳álculos" sheetId="5" r:id="rId3"/>
    <sheet name="D̳ashboard" sheetId="4" r:id="rId4"/>
  </sheets>
  <definedNames>
    <definedName name="SegmentaçãodeDados_Subscription_Type">#N/A</definedName>
  </definedNames>
  <calcPr calcId="191029"/>
  <pivotCaches>
    <pivotCache cacheId="198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5" l="1"/>
  <c r="B23" i="5"/>
</calcChain>
</file>

<file path=xl/sharedStrings.xml><?xml version="1.0" encoding="utf-8"?>
<sst xmlns="http://schemas.openxmlformats.org/spreadsheetml/2006/main" count="2033" uniqueCount="326">
  <si>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</si>
  <si>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</si>
  <si>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</si>
  <si>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</si>
  <si>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</si>
  <si>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</si>
  <si>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</si>
  <si>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</si>
  <si>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</si>
  <si>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</si>
  <si>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</si>
  <si>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</si>
  <si>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</si>
  <si>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</si>
  <si>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</si>
  <si>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</si>
  <si>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</si>
  <si>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</si>
  <si>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</si>
  <si>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</si>
  <si>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</si>
  <si>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</si>
  <si>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</si>
  <si>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</si>
  <si>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</si>
  <si>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</si>
  <si>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</si>
  <si>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</si>
  <si>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</si>
  <si>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</si>
  <si>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</si>
  <si>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</si>
  <si>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</si>
  <si>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</si>
  <si>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</si>
  <si>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</si>
  <si>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</si>
  <si>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</si>
  <si>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</si>
  <si>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</si>
  <si>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</si>
  <si>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</si>
  <si>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</si>
  <si>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</si>
  <si>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</si>
  <si>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</si>
  <si>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</si>
  <si>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</si>
  <si>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</si>
  <si>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</si>
  <si>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</si>
  <si>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</si>
  <si>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</si>
  <si>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</si>
  <si>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</si>
  <si>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</si>
  <si>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</si>
  <si>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</si>
  <si>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</si>
  <si>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</si>
  <si>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</si>
  <si>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</si>
  <si>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</si>
  <si>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</si>
  <si>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</si>
  <si>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</si>
  <si>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</si>
  <si>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</si>
  <si>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</si>
  <si>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</si>
  <si>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</si>
  <si>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</si>
  <si>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</si>
  <si>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</si>
  <si>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</si>
  <si>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</si>
  <si>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</si>
  <si>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</si>
  <si>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</si>
  <si>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</si>
  <si>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</si>
  <si>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</si>
  <si>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</si>
  <si>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</si>
  <si>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</si>
  <si>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</si>
  <si>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</si>
  <si>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</si>
  <si>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</si>
  <si>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</si>
  <si>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</si>
  <si>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</si>
  <si>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</si>
  <si>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</si>
  <si>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</si>
  <si>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</si>
  <si>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</si>
  <si>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</si>
  <si>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</si>
  <si>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</si>
  <si>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</si>
  <si>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</si>
  <si>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</si>
  <si>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</si>
  <si>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</si>
  <si>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</si>
  <si>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</si>
  <si>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</si>
  <si>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</si>
  <si>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</si>
  <si>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</si>
  <si>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</si>
  <si>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</si>
  <si>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</si>
  <si>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</si>
  <si>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</si>
  <si>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</si>
  <si>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</si>
  <si>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</si>
  <si>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</si>
  <si>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</si>
  <si>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</si>
  <si>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</si>
  <si>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</si>
  <si>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</si>
  <si>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</si>
  <si>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</si>
  <si>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</si>
  <si>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</si>
  <si>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</si>
  <si>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</si>
  <si>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</si>
  <si>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</si>
  <si>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</si>
  <si>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</si>
  <si>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</si>
  <si>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</si>
  <si>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</si>
  <si>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</si>
  <si>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</si>
  <si>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</si>
  <si>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</si>
  <si>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</si>
  <si>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</si>
  <si>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</si>
  <si>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</si>
  <si>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</si>
  <si>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</si>
  <si>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</si>
  <si>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</si>
  <si>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</si>
  <si>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</si>
  <si>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</si>
  <si>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</si>
  <si>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</si>
  <si>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</si>
  <si>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</si>
  <si>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</si>
  <si>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</si>
  <si>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</si>
  <si>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</si>
  <si>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</si>
  <si>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</si>
  <si>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</si>
  <si>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</si>
  <si>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</si>
  <si>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</si>
  <si>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</si>
  <si>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</si>
  <si>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</si>
  <si>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</si>
  <si>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</si>
  <si>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</si>
  <si>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</si>
  <si>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</si>
  <si>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</si>
  <si>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</si>
  <si>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</si>
  <si>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</si>
  <si>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</si>
  <si>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</si>
  <si>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</si>
  <si>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</si>
  <si>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</si>
  <si>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</si>
  <si>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</si>
  <si>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</si>
  <si>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</si>
  <si>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</si>
  <si>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</si>
  <si>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</si>
  <si>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</si>
  <si>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</si>
  <si>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</si>
  <si>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</si>
  <si>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</si>
  <si>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</si>
  <si>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</si>
  <si>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</si>
  <si>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</si>
  <si>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</si>
  <si>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</si>
  <si>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</si>
  <si>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</si>
  <si>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</si>
  <si>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</si>
  <si>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</si>
  <si>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</si>
  <si>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</si>
  <si>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</si>
  <si>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</si>
  <si>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</si>
  <si>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</si>
  <si>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</si>
  <si>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</si>
  <si>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</si>
  <si>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</si>
  <si>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</si>
  <si>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</si>
  <si>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</si>
  <si>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</si>
  <si>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</si>
  <si>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</si>
  <si>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</si>
  <si>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</si>
  <si>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</si>
  <si>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</si>
  <si>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</si>
  <si>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</si>
  <si>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</si>
  <si>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</si>
  <si>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</si>
  <si>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</si>
  <si>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</si>
  <si>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</si>
  <si>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</si>
  <si>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</si>
  <si>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</si>
  <si>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</si>
  <si>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</si>
  <si>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</si>
  <si>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</si>
  <si>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</si>
  <si>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</si>
  <si>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</si>
  <si>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</si>
  <si>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</si>
  <si>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</si>
  <si>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</si>
  <si>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</si>
  <si>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</si>
  <si>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</si>
  <si>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</si>
  <si>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</si>
  <si>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</si>
  <si>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</si>
  <si>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</si>
  <si>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</si>
  <si>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</si>
  <si>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</si>
  <si>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</si>
  <si>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</si>
  <si>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</si>
  <si>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</si>
  <si>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</si>
  <si>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</si>
  <si>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</si>
  <si>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</si>
  <si>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</si>
  <si>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</si>
  <si>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</si>
  <si>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</si>
  <si>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</si>
  <si>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</si>
  <si>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</si>
  <si>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</si>
  <si>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</si>
  <si>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</si>
  <si>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</si>
  <si>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</si>
  <si>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</si>
  <si>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</si>
  <si>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</si>
  <si>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</si>
  <si>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</si>
  <si>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</si>
  <si>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</si>
  <si>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</si>
  <si>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</si>
  <si>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</si>
  <si>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</si>
  <si>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</si>
  <si>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</si>
  <si>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</si>
  <si>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</si>
  <si>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</si>
  <si>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</si>
  <si>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</si>
  <si>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</si>
  <si>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</si>
  <si>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</si>
  <si>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</si>
  <si>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</si>
  <si>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</si>
  <si>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</si>
  <si>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</si>
  <si>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</si>
  <si>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</si>
  <si>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</si>
  <si>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</si>
  <si>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</si>
  <si>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</si>
  <si>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</si>
  <si>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r>
      <t>Pergunta de negócio 1: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 planos </t>
    </r>
    <r>
      <rPr>
        <b/>
        <sz val="11"/>
        <color theme="1"/>
        <rFont val="Aptos Narrow"/>
        <family val="2"/>
        <scheme val="minor"/>
      </rPr>
      <t>anuais</t>
    </r>
    <r>
      <rPr>
        <sz val="11"/>
        <color theme="1"/>
        <rFont val="Aptos Narrow"/>
        <family val="2"/>
        <scheme val="minor"/>
      </rPr>
      <t xml:space="preserve"> (contendo todas as assinatuas agregadas)</t>
    </r>
  </si>
  <si>
    <t>Rótulos de Linha</t>
  </si>
  <si>
    <t>Total Geral</t>
  </si>
  <si>
    <t>Pergunta de negócio 2: Qual faturamento Total de vendas de planos anuais separado por "auto renovação" "não é auto renovação"</t>
  </si>
  <si>
    <t>Pergunta de negócio 3: total de vendas de assinaturas do EA play</t>
  </si>
  <si>
    <t>Soma de EA Play Season Pass</t>
  </si>
  <si>
    <t>Soma de Minecraft Season Pass Price</t>
  </si>
  <si>
    <t>Calculation period: 01/01/2024 - 31/12/2024 | update date: 12/10/2026</t>
  </si>
  <si>
    <t>Pergunta de negócio 4: quantas pessoas assinaram cada tipo de pass</t>
  </si>
  <si>
    <t>Rótulos de Coluna</t>
  </si>
  <si>
    <t>Contagem de Total Value</t>
  </si>
  <si>
    <t>(Vários itens)</t>
  </si>
  <si>
    <t>XBOX GAME PASS SUBSCRIPITIONS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</si>
</sst>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8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  <font>
      <sz val="9"/>
      <color theme="1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00B050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4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5" fontId="0" fillId="0" borderId="0" xfId="0" applyNumberFormat="1"/>
    <xf numFmtId="0" fontId="0" fillId="0" borderId="0" xfId="0" applyFill="1"/>
    <xf numFmtId="165" fontId="0" fillId="0" borderId="0" xfId="2" applyNumberFormat="1" applyFont="1" applyAlignment="1">
      <alignment horizontal="center" vertical="center" wrapText="1"/>
    </xf>
    <xf numFmtId="0" fontId="6" fillId="7" borderId="0" xfId="0" applyFont="1" applyFill="1"/>
    <xf numFmtId="0" fontId="5" fillId="0" borderId="2" xfId="1" applyFont="1" applyBorder="1"/>
    <xf numFmtId="0" fontId="4" fillId="0" borderId="2" xfId="1" applyFont="1" applyBorder="1"/>
    <xf numFmtId="0" fontId="1" fillId="0" borderId="2" xfId="1" applyBorder="1"/>
    <xf numFmtId="0" fontId="0" fillId="0" borderId="2" xfId="0" applyBorder="1"/>
    <xf numFmtId="0" fontId="7" fillId="7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136">
    <dxf>
      <numFmt numFmtId="165" formatCode="&quot;R$&quot;\ #,##0.00"/>
    </dxf>
    <dxf>
      <numFmt numFmtId="0" formatCode="General"/>
    </dxf>
    <dxf>
      <numFmt numFmtId="165" formatCode="&quot;R$&quot;\ #,##0.00"/>
    </dxf>
    <dxf>
      <numFmt numFmtId="0" formatCode="General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0" formatCode="General"/>
    </dxf>
    <dxf>
      <numFmt numFmtId="165" formatCode="&quot;R$&quot;\ #,##0.00"/>
    </dxf>
    <dxf>
      <numFmt numFmtId="0" formatCode="General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0" formatCode="General"/>
    </dxf>
    <dxf>
      <numFmt numFmtId="165" formatCode="&quot;R$&quot;\ #,##0.00"/>
    </dxf>
    <dxf>
      <numFmt numFmtId="0" formatCode="General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0" formatCode="General"/>
    </dxf>
    <dxf>
      <numFmt numFmtId="165" formatCode="&quot;R$&quot;\ #,##0.00"/>
    </dxf>
    <dxf>
      <numFmt numFmtId="0" formatCode="General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0" formatCode="General"/>
    </dxf>
    <dxf>
      <numFmt numFmtId="165" formatCode="&quot;R$&quot;\ #,##0.00"/>
    </dxf>
    <dxf>
      <numFmt numFmtId="0" formatCode="General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0" formatCode="General"/>
    </dxf>
    <dxf>
      <numFmt numFmtId="165" formatCode="&quot;R$&quot;\ #,##0.00"/>
    </dxf>
    <dxf>
      <numFmt numFmtId="0" formatCode="General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0" formatCode="General"/>
    </dxf>
    <dxf>
      <numFmt numFmtId="165" formatCode="&quot;R$&quot;\ #,##0.00"/>
    </dxf>
    <dxf>
      <numFmt numFmtId="0" formatCode="General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0" formatCode="General"/>
    </dxf>
    <dxf>
      <numFmt numFmtId="165" formatCode="&quot;R$&quot;\ #,##0.00"/>
    </dxf>
    <dxf>
      <numFmt numFmtId="0" formatCode="General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0" formatCode="General"/>
    </dxf>
    <dxf>
      <numFmt numFmtId="165" formatCode="&quot;R$&quot;\ #,##0.00"/>
    </dxf>
    <dxf>
      <numFmt numFmtId="0" formatCode="General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0" formatCode="General"/>
    </dxf>
    <dxf>
      <numFmt numFmtId="165" formatCode="&quot;R$&quot;\ #,##0.00"/>
    </dxf>
    <dxf>
      <numFmt numFmtId="0" formatCode="General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0" formatCode="General"/>
    </dxf>
    <dxf>
      <numFmt numFmtId="165" formatCode="&quot;R$&quot;\ #,##0.00"/>
    </dxf>
    <dxf>
      <numFmt numFmtId="0" formatCode="General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0" formatCode="General"/>
    </dxf>
    <dxf>
      <numFmt numFmtId="165" formatCode="&quot;R$&quot;\ #,##0.00"/>
    </dxf>
    <dxf>
      <numFmt numFmtId="0" formatCode="General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0" formatCode="General"/>
    </dxf>
    <dxf>
      <numFmt numFmtId="165" formatCode="&quot;R$&quot;\ #,##0.00"/>
    </dxf>
    <dxf>
      <numFmt numFmtId="0" formatCode="General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0" formatCode="General"/>
    </dxf>
    <dxf>
      <numFmt numFmtId="165" formatCode="&quot;R$&quot;\ #,##0.00"/>
    </dxf>
    <dxf>
      <numFmt numFmtId="0" formatCode="General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0" formatCode="General"/>
    </dxf>
    <dxf>
      <numFmt numFmtId="165" formatCode="&quot;R$&quot;\ #,##0.00"/>
    </dxf>
    <dxf>
      <numFmt numFmtId="0" formatCode="General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0" formatCode="General"/>
    </dxf>
    <dxf>
      <numFmt numFmtId="165" formatCode="&quot;R$&quot;\ #,##0.00"/>
    </dxf>
    <dxf>
      <numFmt numFmtId="0" formatCode="General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0" formatCode="General"/>
    </dxf>
    <dxf>
      <numFmt numFmtId="165" formatCode="&quot;R$&quot;\ #,##0.00"/>
    </dxf>
    <dxf>
      <numFmt numFmtId="0" formatCode="General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0" formatCode="General"/>
    </dxf>
    <dxf>
      <numFmt numFmtId="165" formatCode="&quot;R$&quot;\ #,##0.00"/>
    </dxf>
    <dxf>
      <numFmt numFmtId="0" formatCode="General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0" formatCode="General"/>
    </dxf>
    <dxf>
      <numFmt numFmtId="165" formatCode="&quot;R$&quot;\ #,##0.00"/>
    </dxf>
    <dxf>
      <numFmt numFmtId="0" formatCode="General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0" formatCode="General"/>
    </dxf>
    <dxf>
      <numFmt numFmtId="165" formatCode="&quot;R$&quot;\ #,##0.00"/>
    </dxf>
    <dxf>
      <numFmt numFmtId="0" formatCode="General"/>
    </dxf>
    <dxf>
      <numFmt numFmtId="165" formatCode="&quot;R$&quot;\ #,##0.00"/>
    </dxf>
    <dxf>
      <numFmt numFmtId="165" formatCode="&quot;R$&quot;\ #,##0.00"/>
    </dxf>
    <dxf>
      <numFmt numFmtId="165" formatCode="&quot;R$&quot;\ #,##0.0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fgColor theme="0"/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880672AA-653B-427A-8E47-35ED8E21D0D7}">
      <tableStyleElement type="wholeTable" dxfId="124"/>
      <tableStyleElement type="headerRow" dxfId="123"/>
    </tableStyle>
  </tableStyles>
  <colors>
    <mruColors>
      <color rgb="FF22C55E"/>
      <color rgb="FF00B050"/>
      <color rgb="FF2AE6B1"/>
      <color rgb="FF5BF6A8"/>
      <color rgb="FFE8E6E9"/>
      <color rgb="FF000000"/>
      <color rgb="FFE0E0E0"/>
      <color rgb="FFEDEDED"/>
      <color rgb="FFF7F8FC"/>
      <color rgb="FF9BC848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 GAME PASS SUBSCRIPITIONS SALES.xlsx]C̳álculos!Tabela dinâmica8</c:name>
    <c:fmtId val="3"/>
  </c:pivotSource>
  <c:chart>
    <c:autoTitleDeleted val="1"/>
    <c:pivotFmts>
      <c:pivotFmt>
        <c:idx val="0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AE6B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C̳álculos!$B$8:$B$10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C̳álculos!$C$8:$C$10</c:f>
              <c:numCache>
                <c:formatCode>"R$"\ #,##0.00</c:formatCode>
                <c:ptCount val="2"/>
                <c:pt idx="0">
                  <c:v>1440</c:v>
                </c:pt>
                <c:pt idx="1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0F-4447-9C06-599FB6EDB4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28928991"/>
        <c:axId val="1226161967"/>
      </c:barChart>
      <c:catAx>
        <c:axId val="1228928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26161967"/>
        <c:crosses val="autoZero"/>
        <c:auto val="1"/>
        <c:lblAlgn val="ctr"/>
        <c:lblOffset val="100"/>
        <c:noMultiLvlLbl val="0"/>
      </c:catAx>
      <c:valAx>
        <c:axId val="1226161967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1228928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 GAME PASS SUBSCRIPITIONS SALES.xlsx]C̳álculos!Tabela dinâmica12</c:name>
    <c:fmtId val="5"/>
  </c:pivotSource>
  <c:chart>
    <c:autoTitleDeleted val="0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Scribble/>
                    </ask:type>
                  </ask:lineSketchStyleProps>
                </a:ext>
              </a:extLst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Scribble/>
                    </ask:type>
                  </ask:lineSketchStyleProps>
                </a:ext>
              </a:extLst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Scribble/>
                    </ask:type>
                  </ask:lineSketchStyleProps>
                </a:ext>
              </a:extLst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977301256247993E-2"/>
          <c:y val="0"/>
          <c:w val="0.87251064713151838"/>
          <c:h val="0.842045056867891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C̳álculos!$C$38:$C$39</c:f>
              <c:strCache>
                <c:ptCount val="1"/>
                <c:pt idx="0">
                  <c:v>Annual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C̳álculos!$B$40:$B$43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C̳álculos!$C$40:$C$43</c:f>
              <c:numCache>
                <c:formatCode>General</c:formatCode>
                <c:ptCount val="3"/>
                <c:pt idx="0">
                  <c:v>24</c:v>
                </c:pt>
                <c:pt idx="1">
                  <c:v>27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4B-424F-AA17-38BB4B82BD06}"/>
            </c:ext>
          </c:extLst>
        </c:ser>
        <c:ser>
          <c:idx val="1"/>
          <c:order val="1"/>
          <c:tx>
            <c:strRef>
              <c:f>C̳álculos!$D$38:$D$39</c:f>
              <c:strCache>
                <c:ptCount val="1"/>
                <c:pt idx="0">
                  <c:v>Monthly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C̳álculos!$B$40:$B$43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C̳álculos!$D$40:$D$43</c:f>
              <c:numCache>
                <c:formatCode>General</c:formatCode>
                <c:ptCount val="3"/>
                <c:pt idx="0">
                  <c:v>49</c:v>
                </c:pt>
                <c:pt idx="1">
                  <c:v>45</c:v>
                </c:pt>
                <c:pt idx="2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4B-424F-AA17-38BB4B82BD06}"/>
            </c:ext>
          </c:extLst>
        </c:ser>
        <c:ser>
          <c:idx val="2"/>
          <c:order val="2"/>
          <c:tx>
            <c:strRef>
              <c:f>C̳álculos!$E$38:$E$39</c:f>
              <c:strCache>
                <c:ptCount val="1"/>
                <c:pt idx="0">
                  <c:v>Quarterly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  <a:extLst>
                  <a:ext uri="{C807C97D-BFC1-408E-A445-0C87EB9F89A2}">
                    <ask:lineSketchStyleProps xmlns:ask="http://schemas.microsoft.com/office/drawing/2018/sketchyshapes">
                      <ask:type>
                        <ask:lineSketchScribble/>
                      </ask:type>
                    </ask:lineSketchStyleProps>
                  </a:ext>
                </a:extLst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C̳álculos!$B$40:$B$43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C̳álculos!$E$40:$E$43</c:f>
              <c:numCache>
                <c:formatCode>General</c:formatCode>
                <c:ptCount val="3"/>
                <c:pt idx="0">
                  <c:v>28</c:v>
                </c:pt>
                <c:pt idx="1">
                  <c:v>24</c:v>
                </c:pt>
                <c:pt idx="2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4B-424F-AA17-38BB4B82B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4073376"/>
        <c:axId val="1226173487"/>
      </c:barChart>
      <c:catAx>
        <c:axId val="1924073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26173487"/>
        <c:crosses val="autoZero"/>
        <c:auto val="1"/>
        <c:lblAlgn val="ctr"/>
        <c:lblOffset val="100"/>
        <c:noMultiLvlLbl val="0"/>
      </c:catAx>
      <c:valAx>
        <c:axId val="12261734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24073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5403468710569932"/>
          <c:y val="0.92447834645669291"/>
          <c:w val="0.40572716745756554"/>
          <c:h val="6.77099737532808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11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74084</xdr:colOff>
      <xdr:row>296</xdr:row>
      <xdr:rowOff>127000</xdr:rowOff>
    </xdr:from>
    <xdr:to>
      <xdr:col>12</xdr:col>
      <xdr:colOff>378884</xdr:colOff>
      <xdr:row>298</xdr:row>
      <xdr:rowOff>52916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13906501" y="2836333"/>
          <a:ext cx="304800" cy="3069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58316</xdr:colOff>
      <xdr:row>33</xdr:row>
      <xdr:rowOff>134419</xdr:rowOff>
    </xdr:from>
    <xdr:to>
      <xdr:col>22</xdr:col>
      <xdr:colOff>313690</xdr:colOff>
      <xdr:row>48</xdr:row>
      <xdr:rowOff>64198</xdr:rowOff>
    </xdr:to>
    <xdr:sp macro="" textlink="">
      <xdr:nvSpPr>
        <xdr:cNvPr id="39" name="Retângulo: Cantos Arredondados 38">
          <a:extLst>
            <a:ext uri="{FF2B5EF4-FFF2-40B4-BE49-F238E27FC236}">
              <a16:creationId xmlns:a16="http://schemas.microsoft.com/office/drawing/2014/main" id="{3BC3BDA7-AF76-403E-B020-E2418C5F015A}"/>
            </a:ext>
          </a:extLst>
        </xdr:cNvPr>
        <xdr:cNvSpPr/>
      </xdr:nvSpPr>
      <xdr:spPr>
        <a:xfrm>
          <a:off x="2750586" y="6675567"/>
          <a:ext cx="8030885" cy="2845595"/>
        </a:xfrm>
        <a:prstGeom prst="roundRect">
          <a:avLst>
            <a:gd name="adj" fmla="val 6191"/>
          </a:avLst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65113</xdr:colOff>
      <xdr:row>33</xdr:row>
      <xdr:rowOff>19438</xdr:rowOff>
    </xdr:from>
    <xdr:to>
      <xdr:col>22</xdr:col>
      <xdr:colOff>313689</xdr:colOff>
      <xdr:row>34</xdr:row>
      <xdr:rowOff>122707</xdr:rowOff>
    </xdr:to>
    <xdr:sp macro="" textlink="">
      <xdr:nvSpPr>
        <xdr:cNvPr id="40" name="Retângulo: Cantos Superiores Arredondados 39">
          <a:extLst>
            <a:ext uri="{FF2B5EF4-FFF2-40B4-BE49-F238E27FC236}">
              <a16:creationId xmlns:a16="http://schemas.microsoft.com/office/drawing/2014/main" id="{CF95384C-E7F5-4D9A-851A-D276D96974D6}"/>
            </a:ext>
          </a:extLst>
        </xdr:cNvPr>
        <xdr:cNvSpPr/>
      </xdr:nvSpPr>
      <xdr:spPr>
        <a:xfrm>
          <a:off x="2757383" y="6560586"/>
          <a:ext cx="8024087" cy="297657"/>
        </a:xfrm>
        <a:prstGeom prst="round2SameRect">
          <a:avLst>
            <a:gd name="adj1" fmla="val 45799"/>
            <a:gd name="adj2" fmla="val 0"/>
          </a:avLst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TOTAL</a:t>
          </a:r>
          <a:r>
            <a:rPr lang="pt-BR" sz="1100" baseline="0"/>
            <a:t>  SUBSCRIPITIONS XBOX GAME PASS</a:t>
          </a:r>
          <a:endParaRPr lang="pt-BR" sz="1100"/>
        </a:p>
      </xdr:txBody>
    </xdr:sp>
    <xdr:clientData/>
  </xdr:twoCellAnchor>
  <xdr:twoCellAnchor editAs="absolute">
    <xdr:from>
      <xdr:col>0</xdr:col>
      <xdr:colOff>2164256</xdr:colOff>
      <xdr:row>0</xdr:row>
      <xdr:rowOff>52679</xdr:rowOff>
    </xdr:from>
    <xdr:to>
      <xdr:col>2</xdr:col>
      <xdr:colOff>29159</xdr:colOff>
      <xdr:row>2</xdr:row>
      <xdr:rowOff>106915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C2ECD08-4D20-42A8-8E72-C029EA828C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61" r="72058" b="19481"/>
        <a:stretch>
          <a:fillRect/>
        </a:stretch>
      </xdr:blipFill>
      <xdr:spPr>
        <a:xfrm>
          <a:off x="2164256" y="52679"/>
          <a:ext cx="557173" cy="559644"/>
        </a:xfrm>
        <a:prstGeom prst="rect">
          <a:avLst/>
        </a:prstGeom>
      </xdr:spPr>
    </xdr:pic>
    <xdr:clientData/>
  </xdr:twoCellAnchor>
  <xdr:twoCellAnchor editAs="oneCell">
    <xdr:from>
      <xdr:col>0</xdr:col>
      <xdr:colOff>87474</xdr:colOff>
      <xdr:row>6</xdr:row>
      <xdr:rowOff>44709</xdr:rowOff>
    </xdr:from>
    <xdr:to>
      <xdr:col>0</xdr:col>
      <xdr:colOff>2138265</xdr:colOff>
      <xdr:row>20</xdr:row>
      <xdr:rowOff>120034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2" name="Subscription Type">
              <a:extLst>
                <a:ext uri="{FF2B5EF4-FFF2-40B4-BE49-F238E27FC236}">
                  <a16:creationId xmlns:a16="http://schemas.microsoft.com/office/drawing/2014/main" id="{BC3809C6-ADF0-4165-B51E-2FD15BEE9F6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474" y="1337388"/>
              <a:ext cx="2050791" cy="279675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45925</xdr:colOff>
      <xdr:row>6</xdr:row>
      <xdr:rowOff>44709</xdr:rowOff>
    </xdr:from>
    <xdr:to>
      <xdr:col>11</xdr:col>
      <xdr:colOff>366919</xdr:colOff>
      <xdr:row>13</xdr:row>
      <xdr:rowOff>90270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C504BDC3-676A-868C-49E7-54E1FD2AEC56}"/>
            </a:ext>
          </a:extLst>
        </xdr:cNvPr>
        <xdr:cNvGrpSpPr/>
      </xdr:nvGrpSpPr>
      <xdr:grpSpPr>
        <a:xfrm>
          <a:off x="2738195" y="1337388"/>
          <a:ext cx="3819974" cy="1406275"/>
          <a:chOff x="3013010" y="1276884"/>
          <a:chExt cx="3819974" cy="140627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890FA194-FA58-E667-900D-0CB7695E78C2}"/>
              </a:ext>
            </a:extLst>
          </xdr:cNvPr>
          <xdr:cNvSpPr/>
        </xdr:nvSpPr>
        <xdr:spPr>
          <a:xfrm>
            <a:off x="3015452" y="1411742"/>
            <a:ext cx="3665667" cy="1241651"/>
          </a:xfrm>
          <a:prstGeom prst="roundRect">
            <a:avLst>
              <a:gd name="adj" fmla="val 10785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B23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CC7FCCB0-C8AA-4D68-BCB3-17DEE433CC68}"/>
              </a:ext>
            </a:extLst>
          </xdr:cNvPr>
          <xdr:cNvSpPr/>
        </xdr:nvSpPr>
        <xdr:spPr>
          <a:xfrm>
            <a:off x="4180613" y="1658517"/>
            <a:ext cx="2652371" cy="802870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800956EA-F13F-4A93-8FB3-12AA963A0543}" type="TxLink">
              <a:rPr lang="en-US" sz="3200" b="0" i="0" u="none" strike="noStrike">
                <a:solidFill>
                  <a:srgbClr val="2AE6B1"/>
                </a:solidFill>
                <a:latin typeface="Aptos Narrow"/>
              </a:rPr>
              <a:pPr algn="ctr"/>
              <a:t>R$ 2.340,00</a:t>
            </a:fld>
            <a:endParaRPr lang="pt-BR" sz="3200">
              <a:solidFill>
                <a:srgbClr val="2AE6B1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8A9E36F6-9FD4-4542-8065-ABCCE1C3875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171448" y="1436745"/>
            <a:ext cx="1202677" cy="1246414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4C09E7D5-30D7-4447-E506-24BEDFA3A45E}"/>
              </a:ext>
            </a:extLst>
          </xdr:cNvPr>
          <xdr:cNvSpPr/>
        </xdr:nvSpPr>
        <xdr:spPr>
          <a:xfrm>
            <a:off x="3013010" y="1276884"/>
            <a:ext cx="3664209" cy="297657"/>
          </a:xfrm>
          <a:prstGeom prst="round2SameRect">
            <a:avLst>
              <a:gd name="adj1" fmla="val 45799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/>
              <a:t>TOTAL</a:t>
            </a:r>
            <a:r>
              <a:rPr lang="pt-BR" sz="1100" baseline="0"/>
              <a:t>  SUBSCRIPITIONS EA SEASON PASS</a:t>
            </a:r>
            <a:endParaRPr lang="pt-BR" sz="1100"/>
          </a:p>
        </xdr:txBody>
      </xdr:sp>
    </xdr:grpSp>
    <xdr:clientData/>
  </xdr:twoCellAnchor>
  <xdr:twoCellAnchor editAs="absolute">
    <xdr:from>
      <xdr:col>13</xdr:col>
      <xdr:colOff>120570</xdr:colOff>
      <xdr:row>6</xdr:row>
      <xdr:rowOff>44709</xdr:rowOff>
    </xdr:from>
    <xdr:to>
      <xdr:col>23</xdr:col>
      <xdr:colOff>72227</xdr:colOff>
      <xdr:row>13</xdr:row>
      <xdr:rowOff>60504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BB89A783-6DB1-B9D3-139C-9017EBEEB0EE}"/>
            </a:ext>
          </a:extLst>
        </xdr:cNvPr>
        <xdr:cNvGrpSpPr/>
      </xdr:nvGrpSpPr>
      <xdr:grpSpPr>
        <a:xfrm>
          <a:off x="7089371" y="1337388"/>
          <a:ext cx="3839412" cy="1376509"/>
          <a:chOff x="6875544" y="1380686"/>
          <a:chExt cx="3839413" cy="1376509"/>
        </a:xfrm>
      </xdr:grpSpPr>
      <xdr:sp macro="" textlink="">
        <xdr:nvSpPr>
          <xdr:cNvPr id="21" name="Retângulo: Cantos Arredondados 20">
            <a:extLst>
              <a:ext uri="{FF2B5EF4-FFF2-40B4-BE49-F238E27FC236}">
                <a16:creationId xmlns:a16="http://schemas.microsoft.com/office/drawing/2014/main" id="{2C94B441-BCF3-2AFE-3D35-A65D601D3F97}"/>
              </a:ext>
            </a:extLst>
          </xdr:cNvPr>
          <xdr:cNvSpPr/>
        </xdr:nvSpPr>
        <xdr:spPr>
          <a:xfrm>
            <a:off x="6877986" y="1515544"/>
            <a:ext cx="3665667" cy="1241651"/>
          </a:xfrm>
          <a:prstGeom prst="roundRect">
            <a:avLst>
              <a:gd name="adj" fmla="val 10785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B33">
        <xdr:nvSpPr>
          <xdr:cNvPr id="22" name="Retângulo: Cantos Arredondados 21">
            <a:extLst>
              <a:ext uri="{FF2B5EF4-FFF2-40B4-BE49-F238E27FC236}">
                <a16:creationId xmlns:a16="http://schemas.microsoft.com/office/drawing/2014/main" id="{9ED927C4-58D2-72FA-0B1A-3269F169B334}"/>
              </a:ext>
            </a:extLst>
          </xdr:cNvPr>
          <xdr:cNvSpPr/>
        </xdr:nvSpPr>
        <xdr:spPr>
          <a:xfrm>
            <a:off x="8062586" y="1781757"/>
            <a:ext cx="2652371" cy="802870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267AE73F-01FD-4677-8345-A9FE143C5329}" type="TxLink">
              <a:rPr lang="en-US" sz="3200" b="0" i="0" u="none" strike="noStrike">
                <a:solidFill>
                  <a:srgbClr val="2AE6B1"/>
                </a:solidFill>
                <a:latin typeface="Aptos Narrow"/>
              </a:rPr>
              <a:t>R$ 2.940,00</a:t>
            </a:fld>
            <a:endParaRPr lang="pt-BR" sz="7200">
              <a:solidFill>
                <a:srgbClr val="2AE6B1"/>
              </a:solidFill>
            </a:endParaRPr>
          </a:p>
        </xdr:txBody>
      </xdr:sp>
      <xdr:sp macro="" textlink="">
        <xdr:nvSpPr>
          <xdr:cNvPr id="24" name="Retângulo: Cantos Superiores Arredondados 23">
            <a:extLst>
              <a:ext uri="{FF2B5EF4-FFF2-40B4-BE49-F238E27FC236}">
                <a16:creationId xmlns:a16="http://schemas.microsoft.com/office/drawing/2014/main" id="{B3277640-2660-F6FE-3E60-6EB74CA358F8}"/>
              </a:ext>
            </a:extLst>
          </xdr:cNvPr>
          <xdr:cNvSpPr/>
        </xdr:nvSpPr>
        <xdr:spPr>
          <a:xfrm>
            <a:off x="6875544" y="1380686"/>
            <a:ext cx="3664209" cy="297657"/>
          </a:xfrm>
          <a:prstGeom prst="round2SameRect">
            <a:avLst>
              <a:gd name="adj1" fmla="val 45799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/>
              <a:t>TOTAL</a:t>
            </a:r>
            <a:r>
              <a:rPr lang="pt-BR" sz="1100" baseline="0"/>
              <a:t>  SUBSCRIPITIONS MINECRAFT SEASON PASS</a:t>
            </a:r>
            <a:endParaRPr lang="pt-BR" sz="1100"/>
          </a:p>
        </xdr:txBody>
      </xdr: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2ECD7725-89C7-4594-8DC2-9552C3102A34}"/>
              </a:ext>
            </a:extLst>
          </xdr:cNvPr>
          <xdr:cNvGrpSpPr/>
        </xdr:nvGrpSpPr>
        <xdr:grpSpPr>
          <a:xfrm>
            <a:off x="7031056" y="1865004"/>
            <a:ext cx="1210986" cy="63637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22874B3F-C231-DBF9-3D66-1E5C5891CE0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0228A527-AC99-C1F7-24BE-91FD2FBEF10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2</xdr:col>
      <xdr:colOff>55646</xdr:colOff>
      <xdr:row>15</xdr:row>
      <xdr:rowOff>62155</xdr:rowOff>
    </xdr:from>
    <xdr:to>
      <xdr:col>22</xdr:col>
      <xdr:colOff>311020</xdr:colOff>
      <xdr:row>30</xdr:row>
      <xdr:rowOff>163457</xdr:rowOff>
    </xdr:to>
    <xdr:grpSp>
      <xdr:nvGrpSpPr>
        <xdr:cNvPr id="37" name="Agrupar 36">
          <a:extLst>
            <a:ext uri="{FF2B5EF4-FFF2-40B4-BE49-F238E27FC236}">
              <a16:creationId xmlns:a16="http://schemas.microsoft.com/office/drawing/2014/main" id="{AB879517-F5F2-9107-BA89-B642B41529BC}"/>
            </a:ext>
          </a:extLst>
        </xdr:cNvPr>
        <xdr:cNvGrpSpPr/>
      </xdr:nvGrpSpPr>
      <xdr:grpSpPr>
        <a:xfrm>
          <a:off x="2747916" y="3104323"/>
          <a:ext cx="8030885" cy="3017119"/>
          <a:chOff x="2971461" y="3152919"/>
          <a:chExt cx="7807341" cy="3017119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82B6B568-11FB-EC9D-C649-FD3F90A30B8C}"/>
              </a:ext>
            </a:extLst>
          </xdr:cNvPr>
          <xdr:cNvGrpSpPr/>
        </xdr:nvGrpSpPr>
        <xdr:grpSpPr>
          <a:xfrm>
            <a:off x="2971461" y="3267900"/>
            <a:ext cx="7807341" cy="2902138"/>
            <a:chOff x="2750344" y="1297780"/>
            <a:chExt cx="4286250" cy="2549995"/>
          </a:xfrm>
        </xdr:grpSpPr>
        <xdr:sp macro="" textlink="">
          <xdr:nvSpPr>
            <xdr:cNvPr id="13" name="Retângulo: Cantos Arredondados 12">
              <a:extLst>
                <a:ext uri="{FF2B5EF4-FFF2-40B4-BE49-F238E27FC236}">
                  <a16:creationId xmlns:a16="http://schemas.microsoft.com/office/drawing/2014/main" id="{F8F250DF-430D-45D3-1F3E-C7B78475C432}"/>
                </a:ext>
              </a:extLst>
            </xdr:cNvPr>
            <xdr:cNvSpPr/>
          </xdr:nvSpPr>
          <xdr:spPr>
            <a:xfrm>
              <a:off x="2750344" y="1297780"/>
              <a:ext cx="4286250" cy="2500313"/>
            </a:xfrm>
            <a:prstGeom prst="roundRect">
              <a:avLst>
                <a:gd name="adj" fmla="val 6191"/>
              </a:avLst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11" name="Gráfico 10">
              <a:extLst>
                <a:ext uri="{FF2B5EF4-FFF2-40B4-BE49-F238E27FC236}">
                  <a16:creationId xmlns:a16="http://schemas.microsoft.com/office/drawing/2014/main" id="{B08E0536-B275-49B8-9E41-1CDD8B325C0F}"/>
                </a:ext>
              </a:extLst>
            </xdr:cNvPr>
            <xdr:cNvGraphicFramePr>
              <a:graphicFrameLocks/>
            </xdr:cNvGraphicFramePr>
          </xdr:nvGraphicFramePr>
          <xdr:xfrm>
            <a:off x="2850930" y="1418900"/>
            <a:ext cx="4095750" cy="242887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32" name="Retângulo: Cantos Superiores Arredondados 31">
            <a:extLst>
              <a:ext uri="{FF2B5EF4-FFF2-40B4-BE49-F238E27FC236}">
                <a16:creationId xmlns:a16="http://schemas.microsoft.com/office/drawing/2014/main" id="{AD11C1CE-CCEE-47AB-8CC7-F9FB6575F838}"/>
              </a:ext>
            </a:extLst>
          </xdr:cNvPr>
          <xdr:cNvSpPr/>
        </xdr:nvSpPr>
        <xdr:spPr>
          <a:xfrm>
            <a:off x="2978069" y="3152919"/>
            <a:ext cx="7800732" cy="297657"/>
          </a:xfrm>
          <a:prstGeom prst="round2SameRect">
            <a:avLst>
              <a:gd name="adj1" fmla="val 45799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/>
              <a:t>TOTAL</a:t>
            </a:r>
            <a:r>
              <a:rPr lang="pt-BR" sz="1100" baseline="0"/>
              <a:t>  SUBSCRIPITIONS XBOX GAME PASS VALUE</a:t>
            </a:r>
            <a:endParaRPr lang="pt-BR" sz="1100"/>
          </a:p>
        </xdr:txBody>
      </xdr:sp>
    </xdr:grpSp>
    <xdr:clientData/>
  </xdr:twoCellAnchor>
  <xdr:twoCellAnchor>
    <xdr:from>
      <xdr:col>0</xdr:col>
      <xdr:colOff>223546</xdr:colOff>
      <xdr:row>1</xdr:row>
      <xdr:rowOff>170088</xdr:rowOff>
    </xdr:from>
    <xdr:to>
      <xdr:col>0</xdr:col>
      <xdr:colOff>923342</xdr:colOff>
      <xdr:row>4</xdr:row>
      <xdr:rowOff>121492</xdr:rowOff>
    </xdr:to>
    <xdr:sp macro="" textlink="">
      <xdr:nvSpPr>
        <xdr:cNvPr id="34" name="Elipse 33">
          <a:extLst>
            <a:ext uri="{FF2B5EF4-FFF2-40B4-BE49-F238E27FC236}">
              <a16:creationId xmlns:a16="http://schemas.microsoft.com/office/drawing/2014/main" id="{4D6B5366-A7EF-4986-BD58-FB7EB2729A4D}"/>
            </a:ext>
          </a:extLst>
        </xdr:cNvPr>
        <xdr:cNvSpPr/>
      </xdr:nvSpPr>
      <xdr:spPr>
        <a:xfrm>
          <a:off x="223546" y="364476"/>
          <a:ext cx="699796" cy="66091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1030257</xdr:colOff>
      <xdr:row>0</xdr:row>
      <xdr:rowOff>58316</xdr:rowOff>
    </xdr:from>
    <xdr:to>
      <xdr:col>0</xdr:col>
      <xdr:colOff>2138267</xdr:colOff>
      <xdr:row>6</xdr:row>
      <xdr:rowOff>38876</xdr:rowOff>
    </xdr:to>
    <xdr:sp macro="" textlink="">
      <xdr:nvSpPr>
        <xdr:cNvPr id="36" name="Retângulo 35">
          <a:extLst>
            <a:ext uri="{FF2B5EF4-FFF2-40B4-BE49-F238E27FC236}">
              <a16:creationId xmlns:a16="http://schemas.microsoft.com/office/drawing/2014/main" id="{949C9B9A-3016-84CE-76DB-430A43684F65}"/>
            </a:ext>
          </a:extLst>
        </xdr:cNvPr>
        <xdr:cNvSpPr/>
      </xdr:nvSpPr>
      <xdr:spPr>
        <a:xfrm>
          <a:off x="1030257" y="58316"/>
          <a:ext cx="1108010" cy="127323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20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BEM</a:t>
          </a:r>
          <a:r>
            <a:rPr lang="pt-BR" sz="2000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 VINDA, JULIA</a:t>
          </a:r>
          <a:endParaRPr lang="pt-BR" sz="200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2</xdr:col>
      <xdr:colOff>220021</xdr:colOff>
      <xdr:row>33</xdr:row>
      <xdr:rowOff>185616</xdr:rowOff>
    </xdr:from>
    <xdr:to>
      <xdr:col>22</xdr:col>
      <xdr:colOff>151985</xdr:colOff>
      <xdr:row>48</xdr:row>
      <xdr:rowOff>13000</xdr:rowOff>
    </xdr:to>
    <xdr:graphicFrame macro="">
      <xdr:nvGraphicFramePr>
        <xdr:cNvPr id="38" name="Gráfico 37">
          <a:extLst>
            <a:ext uri="{FF2B5EF4-FFF2-40B4-BE49-F238E27FC236}">
              <a16:creationId xmlns:a16="http://schemas.microsoft.com/office/drawing/2014/main" id="{267BE7EA-FAEE-402A-91B2-BA7D243503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sou" refreshedDate="46307.568478240741" createdVersion="8" refreshedVersion="8" minRefreshableVersion="3" recordCount="295" xr:uid="{AD44C698-7DAF-4B5C-BEB3-0281E11BF70C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165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</cacheFields>
  <extLst>
    <ext xmlns:x14="http://schemas.microsoft.com/office/spreadsheetml/2009/9/main" uri="{725AE2AE-9491-48be-B2B4-4EB974FC3084}">
      <x14:pivotCacheDefinition pivotCacheId="115723837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x v="0"/>
    <x v="0"/>
    <s v="Yes"/>
    <x v="0"/>
    <s v="Yes"/>
    <n v="20"/>
    <n v="5"/>
    <x v="0"/>
  </r>
  <r>
    <n v="3232"/>
    <x v="1"/>
    <x v="1"/>
    <d v="2024-01-15T00:00:00"/>
    <x v="1"/>
    <x v="1"/>
    <x v="1"/>
    <s v="No"/>
    <x v="1"/>
    <s v="No"/>
    <n v="0"/>
    <n v="0"/>
    <x v="1"/>
  </r>
  <r>
    <n v="3233"/>
    <x v="2"/>
    <x v="2"/>
    <d v="2024-02-10T00:00:00"/>
    <x v="0"/>
    <x v="2"/>
    <x v="2"/>
    <s v="No"/>
    <x v="1"/>
    <s v="Yes"/>
    <n v="20"/>
    <n v="10"/>
    <x v="2"/>
  </r>
  <r>
    <n v="3234"/>
    <x v="3"/>
    <x v="0"/>
    <d v="2024-02-20T00:00:00"/>
    <x v="1"/>
    <x v="0"/>
    <x v="0"/>
    <s v="Yes"/>
    <x v="0"/>
    <s v="Yes"/>
    <n v="20"/>
    <n v="3"/>
    <x v="3"/>
  </r>
  <r>
    <n v="3235"/>
    <x v="4"/>
    <x v="1"/>
    <d v="2024-03-05T00:00:00"/>
    <x v="0"/>
    <x v="1"/>
    <x v="0"/>
    <s v="No"/>
    <x v="1"/>
    <s v="No"/>
    <n v="0"/>
    <n v="1"/>
    <x v="4"/>
  </r>
  <r>
    <n v="3236"/>
    <x v="5"/>
    <x v="2"/>
    <d v="2024-03-02T00:00:00"/>
    <x v="1"/>
    <x v="2"/>
    <x v="0"/>
    <s v="No"/>
    <x v="1"/>
    <s v="Yes"/>
    <n v="20"/>
    <n v="2"/>
    <x v="5"/>
  </r>
  <r>
    <n v="3237"/>
    <x v="6"/>
    <x v="0"/>
    <d v="2024-03-03T00:00:00"/>
    <x v="0"/>
    <x v="0"/>
    <x v="2"/>
    <s v="Yes"/>
    <x v="0"/>
    <s v="Yes"/>
    <n v="20"/>
    <n v="10"/>
    <x v="6"/>
  </r>
  <r>
    <n v="3238"/>
    <x v="7"/>
    <x v="1"/>
    <d v="2024-03-04T00:00:00"/>
    <x v="0"/>
    <x v="1"/>
    <x v="1"/>
    <s v="No"/>
    <x v="1"/>
    <s v="No"/>
    <n v="0"/>
    <n v="0"/>
    <x v="1"/>
  </r>
  <r>
    <n v="3239"/>
    <x v="8"/>
    <x v="0"/>
    <d v="2024-03-05T00:00:00"/>
    <x v="1"/>
    <x v="0"/>
    <x v="0"/>
    <s v="Yes"/>
    <x v="0"/>
    <s v="Yes"/>
    <n v="20"/>
    <n v="5"/>
    <x v="0"/>
  </r>
  <r>
    <n v="3240"/>
    <x v="9"/>
    <x v="2"/>
    <d v="2024-03-06T00:00:00"/>
    <x v="0"/>
    <x v="2"/>
    <x v="2"/>
    <s v="No"/>
    <x v="1"/>
    <s v="Yes"/>
    <n v="20"/>
    <n v="15"/>
    <x v="7"/>
  </r>
  <r>
    <n v="3241"/>
    <x v="10"/>
    <x v="1"/>
    <d v="2024-03-07T00:00:00"/>
    <x v="1"/>
    <x v="1"/>
    <x v="0"/>
    <s v="No"/>
    <x v="1"/>
    <s v="No"/>
    <n v="0"/>
    <n v="1"/>
    <x v="4"/>
  </r>
  <r>
    <n v="3242"/>
    <x v="11"/>
    <x v="0"/>
    <d v="2024-03-08T00:00:00"/>
    <x v="0"/>
    <x v="0"/>
    <x v="1"/>
    <s v="Yes"/>
    <x v="0"/>
    <s v="Yes"/>
    <n v="20"/>
    <n v="20"/>
    <x v="8"/>
  </r>
  <r>
    <n v="3243"/>
    <x v="12"/>
    <x v="2"/>
    <d v="2024-03-09T00:00:00"/>
    <x v="1"/>
    <x v="2"/>
    <x v="0"/>
    <s v="No"/>
    <x v="1"/>
    <s v="Yes"/>
    <n v="20"/>
    <n v="10"/>
    <x v="2"/>
  </r>
  <r>
    <n v="3244"/>
    <x v="13"/>
    <x v="1"/>
    <d v="2024-03-10T00:00:00"/>
    <x v="0"/>
    <x v="1"/>
    <x v="2"/>
    <s v="No"/>
    <x v="1"/>
    <s v="No"/>
    <n v="0"/>
    <n v="0"/>
    <x v="1"/>
  </r>
  <r>
    <n v="3245"/>
    <x v="14"/>
    <x v="0"/>
    <d v="2024-03-11T00:00:00"/>
    <x v="1"/>
    <x v="0"/>
    <x v="0"/>
    <s v="Yes"/>
    <x v="0"/>
    <s v="Yes"/>
    <n v="20"/>
    <n v="8"/>
    <x v="9"/>
  </r>
  <r>
    <n v="3246"/>
    <x v="15"/>
    <x v="2"/>
    <d v="2024-03-12T00:00:00"/>
    <x v="0"/>
    <x v="2"/>
    <x v="1"/>
    <s v="No"/>
    <x v="1"/>
    <s v="Yes"/>
    <n v="20"/>
    <n v="12"/>
    <x v="10"/>
  </r>
  <r>
    <n v="3247"/>
    <x v="16"/>
    <x v="1"/>
    <d v="2024-03-13T00:00:00"/>
    <x v="1"/>
    <x v="1"/>
    <x v="0"/>
    <s v="No"/>
    <x v="1"/>
    <s v="No"/>
    <n v="0"/>
    <n v="2"/>
    <x v="11"/>
  </r>
  <r>
    <n v="3248"/>
    <x v="17"/>
    <x v="0"/>
    <d v="2024-03-14T00:00:00"/>
    <x v="0"/>
    <x v="0"/>
    <x v="2"/>
    <s v="Yes"/>
    <x v="0"/>
    <s v="Yes"/>
    <n v="20"/>
    <n v="7"/>
    <x v="12"/>
  </r>
  <r>
    <n v="3249"/>
    <x v="18"/>
    <x v="2"/>
    <d v="2024-03-15T00:00:00"/>
    <x v="1"/>
    <x v="2"/>
    <x v="0"/>
    <s v="No"/>
    <x v="1"/>
    <s v="Yes"/>
    <n v="20"/>
    <n v="5"/>
    <x v="13"/>
  </r>
  <r>
    <n v="3250"/>
    <x v="19"/>
    <x v="1"/>
    <d v="2024-03-16T00:00:00"/>
    <x v="0"/>
    <x v="1"/>
    <x v="1"/>
    <s v="No"/>
    <x v="1"/>
    <s v="No"/>
    <n v="0"/>
    <n v="0"/>
    <x v="1"/>
  </r>
  <r>
    <n v="3251"/>
    <x v="20"/>
    <x v="0"/>
    <d v="2024-03-17T00:00:00"/>
    <x v="1"/>
    <x v="0"/>
    <x v="0"/>
    <s v="Yes"/>
    <x v="0"/>
    <s v="Yes"/>
    <n v="20"/>
    <n v="3"/>
    <x v="3"/>
  </r>
  <r>
    <n v="3252"/>
    <x v="21"/>
    <x v="2"/>
    <d v="2024-03-18T00:00:00"/>
    <x v="0"/>
    <x v="2"/>
    <x v="2"/>
    <s v="No"/>
    <x v="1"/>
    <s v="Yes"/>
    <n v="20"/>
    <n v="15"/>
    <x v="7"/>
  </r>
  <r>
    <n v="3253"/>
    <x v="22"/>
    <x v="1"/>
    <d v="2024-03-19T00:00:00"/>
    <x v="1"/>
    <x v="1"/>
    <x v="0"/>
    <s v="No"/>
    <x v="1"/>
    <s v="No"/>
    <n v="0"/>
    <n v="1"/>
    <x v="4"/>
  </r>
  <r>
    <n v="3254"/>
    <x v="23"/>
    <x v="0"/>
    <d v="2024-03-20T00:00:00"/>
    <x v="0"/>
    <x v="0"/>
    <x v="1"/>
    <s v="Yes"/>
    <x v="0"/>
    <s v="Yes"/>
    <n v="20"/>
    <n v="20"/>
    <x v="8"/>
  </r>
  <r>
    <n v="3255"/>
    <x v="24"/>
    <x v="2"/>
    <d v="2024-03-21T00:00:00"/>
    <x v="1"/>
    <x v="2"/>
    <x v="0"/>
    <s v="No"/>
    <x v="1"/>
    <s v="Yes"/>
    <n v="20"/>
    <n v="10"/>
    <x v="2"/>
  </r>
  <r>
    <n v="3256"/>
    <x v="25"/>
    <x v="1"/>
    <d v="2024-03-22T00:00:00"/>
    <x v="0"/>
    <x v="1"/>
    <x v="2"/>
    <s v="No"/>
    <x v="1"/>
    <s v="No"/>
    <n v="0"/>
    <n v="0"/>
    <x v="1"/>
  </r>
  <r>
    <n v="3257"/>
    <x v="26"/>
    <x v="0"/>
    <d v="2024-03-23T00:00:00"/>
    <x v="1"/>
    <x v="0"/>
    <x v="0"/>
    <s v="Yes"/>
    <x v="0"/>
    <s v="Yes"/>
    <n v="20"/>
    <n v="5"/>
    <x v="0"/>
  </r>
  <r>
    <n v="3258"/>
    <x v="27"/>
    <x v="2"/>
    <d v="2024-03-24T00:00:00"/>
    <x v="0"/>
    <x v="2"/>
    <x v="1"/>
    <s v="No"/>
    <x v="1"/>
    <s v="Yes"/>
    <n v="20"/>
    <n v="15"/>
    <x v="7"/>
  </r>
  <r>
    <n v="3259"/>
    <x v="28"/>
    <x v="1"/>
    <d v="2024-03-25T00:00:00"/>
    <x v="1"/>
    <x v="1"/>
    <x v="0"/>
    <s v="No"/>
    <x v="1"/>
    <s v="No"/>
    <n v="0"/>
    <n v="1"/>
    <x v="4"/>
  </r>
  <r>
    <n v="3260"/>
    <x v="29"/>
    <x v="0"/>
    <d v="2024-03-26T00:00:00"/>
    <x v="0"/>
    <x v="0"/>
    <x v="2"/>
    <s v="Yes"/>
    <x v="0"/>
    <s v="Yes"/>
    <n v="20"/>
    <n v="7"/>
    <x v="12"/>
  </r>
  <r>
    <n v="3261"/>
    <x v="30"/>
    <x v="2"/>
    <d v="2024-03-27T00:00:00"/>
    <x v="1"/>
    <x v="2"/>
    <x v="0"/>
    <s v="No"/>
    <x v="1"/>
    <s v="Yes"/>
    <n v="20"/>
    <n v="10"/>
    <x v="2"/>
  </r>
  <r>
    <n v="3262"/>
    <x v="31"/>
    <x v="1"/>
    <d v="2024-03-28T00:00:00"/>
    <x v="0"/>
    <x v="1"/>
    <x v="1"/>
    <s v="No"/>
    <x v="1"/>
    <s v="No"/>
    <n v="0"/>
    <n v="0"/>
    <x v="1"/>
  </r>
  <r>
    <n v="3263"/>
    <x v="32"/>
    <x v="0"/>
    <d v="2024-03-29T00:00:00"/>
    <x v="1"/>
    <x v="0"/>
    <x v="0"/>
    <s v="Yes"/>
    <x v="0"/>
    <s v="Yes"/>
    <n v="20"/>
    <n v="3"/>
    <x v="3"/>
  </r>
  <r>
    <n v="3264"/>
    <x v="33"/>
    <x v="2"/>
    <d v="2024-03-30T00:00:00"/>
    <x v="0"/>
    <x v="2"/>
    <x v="2"/>
    <s v="No"/>
    <x v="1"/>
    <s v="Yes"/>
    <n v="20"/>
    <n v="15"/>
    <x v="7"/>
  </r>
  <r>
    <n v="3265"/>
    <x v="34"/>
    <x v="1"/>
    <d v="2024-03-31T00:00:00"/>
    <x v="1"/>
    <x v="1"/>
    <x v="0"/>
    <s v="No"/>
    <x v="1"/>
    <s v="No"/>
    <n v="0"/>
    <n v="1"/>
    <x v="4"/>
  </r>
  <r>
    <n v="3266"/>
    <x v="35"/>
    <x v="1"/>
    <d v="2024-04-01T00:00:00"/>
    <x v="0"/>
    <x v="1"/>
    <x v="0"/>
    <s v="No"/>
    <x v="1"/>
    <s v="No"/>
    <n v="0"/>
    <n v="0"/>
    <x v="1"/>
  </r>
  <r>
    <n v="3267"/>
    <x v="36"/>
    <x v="0"/>
    <d v="2024-04-02T00:00:00"/>
    <x v="1"/>
    <x v="0"/>
    <x v="2"/>
    <s v="Yes"/>
    <x v="0"/>
    <s v="Yes"/>
    <n v="20"/>
    <n v="7"/>
    <x v="12"/>
  </r>
  <r>
    <n v="3268"/>
    <x v="37"/>
    <x v="2"/>
    <d v="2024-04-03T00:00:00"/>
    <x v="0"/>
    <x v="2"/>
    <x v="1"/>
    <s v="No"/>
    <x v="1"/>
    <s v="Yes"/>
    <n v="20"/>
    <n v="10"/>
    <x v="2"/>
  </r>
  <r>
    <n v="3269"/>
    <x v="38"/>
    <x v="1"/>
    <d v="2024-04-04T00:00:00"/>
    <x v="1"/>
    <x v="1"/>
    <x v="2"/>
    <s v="No"/>
    <x v="1"/>
    <s v="No"/>
    <n v="0"/>
    <n v="1"/>
    <x v="4"/>
  </r>
  <r>
    <n v="3270"/>
    <x v="39"/>
    <x v="0"/>
    <d v="2024-04-05T00:00:00"/>
    <x v="0"/>
    <x v="0"/>
    <x v="0"/>
    <s v="Yes"/>
    <x v="0"/>
    <s v="Yes"/>
    <n v="20"/>
    <n v="15"/>
    <x v="14"/>
  </r>
  <r>
    <n v="3271"/>
    <x v="40"/>
    <x v="2"/>
    <d v="2024-04-06T00:00:00"/>
    <x v="1"/>
    <x v="2"/>
    <x v="0"/>
    <s v="No"/>
    <x v="1"/>
    <s v="Yes"/>
    <n v="20"/>
    <n v="5"/>
    <x v="13"/>
  </r>
  <r>
    <n v="3272"/>
    <x v="41"/>
    <x v="1"/>
    <d v="2024-04-07T00:00:00"/>
    <x v="0"/>
    <x v="1"/>
    <x v="1"/>
    <s v="No"/>
    <x v="1"/>
    <s v="No"/>
    <n v="0"/>
    <n v="0"/>
    <x v="1"/>
  </r>
  <r>
    <n v="3273"/>
    <x v="42"/>
    <x v="0"/>
    <d v="2024-04-08T00:00:00"/>
    <x v="1"/>
    <x v="0"/>
    <x v="2"/>
    <s v="Yes"/>
    <x v="0"/>
    <s v="Yes"/>
    <n v="20"/>
    <n v="20"/>
    <x v="8"/>
  </r>
  <r>
    <n v="3274"/>
    <x v="43"/>
    <x v="2"/>
    <d v="2024-04-09T00:00:00"/>
    <x v="0"/>
    <x v="2"/>
    <x v="2"/>
    <s v="No"/>
    <x v="1"/>
    <s v="Yes"/>
    <n v="20"/>
    <n v="12"/>
    <x v="10"/>
  </r>
  <r>
    <n v="3275"/>
    <x v="44"/>
    <x v="1"/>
    <d v="2024-04-10T00:00:00"/>
    <x v="1"/>
    <x v="1"/>
    <x v="0"/>
    <s v="No"/>
    <x v="1"/>
    <s v="No"/>
    <n v="0"/>
    <n v="2"/>
    <x v="11"/>
  </r>
  <r>
    <n v="3276"/>
    <x v="45"/>
    <x v="0"/>
    <d v="2024-04-11T00:00:00"/>
    <x v="0"/>
    <x v="0"/>
    <x v="1"/>
    <s v="Yes"/>
    <x v="0"/>
    <s v="Yes"/>
    <n v="20"/>
    <n v="5"/>
    <x v="0"/>
  </r>
  <r>
    <n v="3277"/>
    <x v="46"/>
    <x v="2"/>
    <d v="2024-04-12T00:00:00"/>
    <x v="1"/>
    <x v="2"/>
    <x v="0"/>
    <s v="No"/>
    <x v="1"/>
    <s v="Yes"/>
    <n v="20"/>
    <n v="10"/>
    <x v="2"/>
  </r>
  <r>
    <n v="3278"/>
    <x v="47"/>
    <x v="1"/>
    <d v="2024-04-13T00:00:00"/>
    <x v="0"/>
    <x v="1"/>
    <x v="2"/>
    <s v="No"/>
    <x v="1"/>
    <s v="No"/>
    <n v="0"/>
    <n v="0"/>
    <x v="1"/>
  </r>
  <r>
    <n v="3279"/>
    <x v="48"/>
    <x v="0"/>
    <d v="2024-04-14T00:00:00"/>
    <x v="1"/>
    <x v="0"/>
    <x v="0"/>
    <s v="Yes"/>
    <x v="0"/>
    <s v="Yes"/>
    <n v="20"/>
    <n v="3"/>
    <x v="3"/>
  </r>
  <r>
    <n v="3280"/>
    <x v="49"/>
    <x v="2"/>
    <d v="2024-04-15T00:00:00"/>
    <x v="0"/>
    <x v="2"/>
    <x v="1"/>
    <s v="No"/>
    <x v="1"/>
    <s v="Yes"/>
    <n v="20"/>
    <n v="15"/>
    <x v="7"/>
  </r>
  <r>
    <n v="3281"/>
    <x v="50"/>
    <x v="1"/>
    <d v="2024-04-16T00:00:00"/>
    <x v="1"/>
    <x v="1"/>
    <x v="0"/>
    <s v="No"/>
    <x v="1"/>
    <s v="No"/>
    <n v="0"/>
    <n v="1"/>
    <x v="4"/>
  </r>
  <r>
    <n v="3282"/>
    <x v="51"/>
    <x v="0"/>
    <d v="2024-04-17T00:00:00"/>
    <x v="0"/>
    <x v="0"/>
    <x v="2"/>
    <s v="Yes"/>
    <x v="0"/>
    <s v="Yes"/>
    <n v="20"/>
    <n v="7"/>
    <x v="12"/>
  </r>
  <r>
    <n v="3283"/>
    <x v="52"/>
    <x v="2"/>
    <d v="2024-04-18T00:00:00"/>
    <x v="1"/>
    <x v="2"/>
    <x v="0"/>
    <s v="No"/>
    <x v="1"/>
    <s v="Yes"/>
    <n v="20"/>
    <n v="10"/>
    <x v="2"/>
  </r>
  <r>
    <n v="3284"/>
    <x v="53"/>
    <x v="1"/>
    <d v="2024-04-19T00:00:00"/>
    <x v="0"/>
    <x v="1"/>
    <x v="1"/>
    <s v="No"/>
    <x v="1"/>
    <s v="No"/>
    <n v="0"/>
    <n v="0"/>
    <x v="1"/>
  </r>
  <r>
    <n v="3285"/>
    <x v="54"/>
    <x v="0"/>
    <d v="2024-04-20T00:00:00"/>
    <x v="1"/>
    <x v="0"/>
    <x v="0"/>
    <s v="Yes"/>
    <x v="0"/>
    <s v="Yes"/>
    <n v="20"/>
    <n v="20"/>
    <x v="8"/>
  </r>
  <r>
    <n v="3286"/>
    <x v="55"/>
    <x v="2"/>
    <d v="2024-04-21T00:00:00"/>
    <x v="0"/>
    <x v="2"/>
    <x v="2"/>
    <s v="No"/>
    <x v="1"/>
    <s v="Yes"/>
    <n v="20"/>
    <n v="15"/>
    <x v="7"/>
  </r>
  <r>
    <n v="3287"/>
    <x v="56"/>
    <x v="1"/>
    <d v="2024-04-22T00:00:00"/>
    <x v="1"/>
    <x v="1"/>
    <x v="0"/>
    <s v="No"/>
    <x v="1"/>
    <s v="No"/>
    <n v="0"/>
    <n v="1"/>
    <x v="4"/>
  </r>
  <r>
    <n v="3288"/>
    <x v="57"/>
    <x v="0"/>
    <d v="2024-04-23T00:00:00"/>
    <x v="0"/>
    <x v="0"/>
    <x v="1"/>
    <s v="Yes"/>
    <x v="0"/>
    <s v="Yes"/>
    <n v="20"/>
    <n v="3"/>
    <x v="3"/>
  </r>
  <r>
    <n v="3289"/>
    <x v="58"/>
    <x v="2"/>
    <d v="2024-04-24T00:00:00"/>
    <x v="1"/>
    <x v="2"/>
    <x v="0"/>
    <s v="No"/>
    <x v="1"/>
    <s v="Yes"/>
    <n v="20"/>
    <n v="10"/>
    <x v="2"/>
  </r>
  <r>
    <n v="3290"/>
    <x v="59"/>
    <x v="1"/>
    <d v="2024-04-25T00:00:00"/>
    <x v="0"/>
    <x v="1"/>
    <x v="2"/>
    <s v="No"/>
    <x v="1"/>
    <s v="No"/>
    <n v="0"/>
    <n v="0"/>
    <x v="1"/>
  </r>
  <r>
    <n v="3291"/>
    <x v="60"/>
    <x v="0"/>
    <d v="2024-04-26T00:00:00"/>
    <x v="1"/>
    <x v="0"/>
    <x v="0"/>
    <s v="Yes"/>
    <x v="0"/>
    <s v="Yes"/>
    <n v="20"/>
    <n v="5"/>
    <x v="0"/>
  </r>
  <r>
    <n v="3292"/>
    <x v="61"/>
    <x v="2"/>
    <d v="2024-04-27T00:00:00"/>
    <x v="0"/>
    <x v="2"/>
    <x v="1"/>
    <s v="No"/>
    <x v="1"/>
    <s v="Yes"/>
    <n v="20"/>
    <n v="15"/>
    <x v="7"/>
  </r>
  <r>
    <n v="3293"/>
    <x v="62"/>
    <x v="1"/>
    <d v="2024-04-28T00:00:00"/>
    <x v="1"/>
    <x v="1"/>
    <x v="0"/>
    <s v="No"/>
    <x v="1"/>
    <s v="No"/>
    <n v="0"/>
    <n v="1"/>
    <x v="4"/>
  </r>
  <r>
    <n v="3294"/>
    <x v="63"/>
    <x v="0"/>
    <d v="2024-04-29T00:00:00"/>
    <x v="0"/>
    <x v="0"/>
    <x v="2"/>
    <s v="Yes"/>
    <x v="0"/>
    <s v="Yes"/>
    <n v="20"/>
    <n v="20"/>
    <x v="8"/>
  </r>
  <r>
    <n v="3295"/>
    <x v="64"/>
    <x v="2"/>
    <d v="2024-04-30T00:00:00"/>
    <x v="1"/>
    <x v="2"/>
    <x v="0"/>
    <s v="No"/>
    <x v="1"/>
    <s v="Yes"/>
    <n v="20"/>
    <n v="5"/>
    <x v="13"/>
  </r>
  <r>
    <n v="3296"/>
    <x v="65"/>
    <x v="1"/>
    <d v="2024-05-01T00:00:00"/>
    <x v="1"/>
    <x v="1"/>
    <x v="0"/>
    <s v="No"/>
    <x v="1"/>
    <s v="No"/>
    <n v="0"/>
    <n v="0"/>
    <x v="1"/>
  </r>
  <r>
    <n v="3297"/>
    <x v="66"/>
    <x v="0"/>
    <d v="2024-05-02T00:00:00"/>
    <x v="0"/>
    <x v="0"/>
    <x v="2"/>
    <s v="Yes"/>
    <x v="0"/>
    <s v="Yes"/>
    <n v="20"/>
    <n v="7"/>
    <x v="12"/>
  </r>
  <r>
    <n v="3298"/>
    <x v="67"/>
    <x v="2"/>
    <d v="2024-05-03T00:00:00"/>
    <x v="1"/>
    <x v="2"/>
    <x v="1"/>
    <s v="No"/>
    <x v="1"/>
    <s v="Yes"/>
    <n v="20"/>
    <n v="10"/>
    <x v="2"/>
  </r>
  <r>
    <n v="3299"/>
    <x v="68"/>
    <x v="1"/>
    <d v="2024-05-04T00:00:00"/>
    <x v="0"/>
    <x v="1"/>
    <x v="2"/>
    <s v="No"/>
    <x v="1"/>
    <s v="No"/>
    <n v="0"/>
    <n v="1"/>
    <x v="4"/>
  </r>
  <r>
    <n v="3300"/>
    <x v="69"/>
    <x v="0"/>
    <d v="2024-05-05T00:00:00"/>
    <x v="1"/>
    <x v="0"/>
    <x v="0"/>
    <s v="Yes"/>
    <x v="0"/>
    <s v="Yes"/>
    <n v="20"/>
    <n v="15"/>
    <x v="14"/>
  </r>
  <r>
    <n v="3301"/>
    <x v="70"/>
    <x v="2"/>
    <d v="2024-05-06T00:00:00"/>
    <x v="0"/>
    <x v="2"/>
    <x v="0"/>
    <s v="No"/>
    <x v="1"/>
    <s v="Yes"/>
    <n v="20"/>
    <n v="5"/>
    <x v="13"/>
  </r>
  <r>
    <n v="3302"/>
    <x v="71"/>
    <x v="1"/>
    <d v="2024-05-07T00:00:00"/>
    <x v="1"/>
    <x v="1"/>
    <x v="1"/>
    <s v="No"/>
    <x v="1"/>
    <s v="No"/>
    <n v="0"/>
    <n v="0"/>
    <x v="1"/>
  </r>
  <r>
    <n v="3303"/>
    <x v="72"/>
    <x v="0"/>
    <d v="2024-05-08T00:00:00"/>
    <x v="0"/>
    <x v="0"/>
    <x v="2"/>
    <s v="Yes"/>
    <x v="0"/>
    <s v="Yes"/>
    <n v="20"/>
    <n v="20"/>
    <x v="8"/>
  </r>
  <r>
    <n v="3304"/>
    <x v="73"/>
    <x v="2"/>
    <d v="2024-05-09T00:00:00"/>
    <x v="1"/>
    <x v="2"/>
    <x v="2"/>
    <s v="No"/>
    <x v="1"/>
    <s v="Yes"/>
    <n v="20"/>
    <n v="12"/>
    <x v="10"/>
  </r>
  <r>
    <n v="3305"/>
    <x v="74"/>
    <x v="1"/>
    <d v="2024-05-10T00:00:00"/>
    <x v="0"/>
    <x v="1"/>
    <x v="0"/>
    <s v="No"/>
    <x v="1"/>
    <s v="No"/>
    <n v="0"/>
    <n v="2"/>
    <x v="11"/>
  </r>
  <r>
    <n v="3306"/>
    <x v="75"/>
    <x v="0"/>
    <d v="2024-05-11T00:00:00"/>
    <x v="1"/>
    <x v="0"/>
    <x v="1"/>
    <s v="Yes"/>
    <x v="0"/>
    <s v="Yes"/>
    <n v="20"/>
    <n v="5"/>
    <x v="0"/>
  </r>
  <r>
    <n v="3307"/>
    <x v="76"/>
    <x v="2"/>
    <d v="2024-05-12T00:00:00"/>
    <x v="0"/>
    <x v="2"/>
    <x v="0"/>
    <s v="No"/>
    <x v="1"/>
    <s v="Yes"/>
    <n v="20"/>
    <n v="10"/>
    <x v="2"/>
  </r>
  <r>
    <n v="3308"/>
    <x v="77"/>
    <x v="1"/>
    <d v="2024-05-13T00:00:00"/>
    <x v="1"/>
    <x v="1"/>
    <x v="2"/>
    <s v="No"/>
    <x v="1"/>
    <s v="No"/>
    <n v="0"/>
    <n v="0"/>
    <x v="1"/>
  </r>
  <r>
    <n v="3309"/>
    <x v="78"/>
    <x v="0"/>
    <d v="2024-05-14T00:00:00"/>
    <x v="0"/>
    <x v="0"/>
    <x v="0"/>
    <s v="Yes"/>
    <x v="0"/>
    <s v="Yes"/>
    <n v="20"/>
    <n v="3"/>
    <x v="3"/>
  </r>
  <r>
    <n v="3310"/>
    <x v="79"/>
    <x v="2"/>
    <d v="2024-05-15T00:00:00"/>
    <x v="1"/>
    <x v="2"/>
    <x v="1"/>
    <s v="No"/>
    <x v="1"/>
    <s v="Yes"/>
    <n v="20"/>
    <n v="15"/>
    <x v="7"/>
  </r>
  <r>
    <n v="3311"/>
    <x v="80"/>
    <x v="1"/>
    <d v="2024-05-16T00:00:00"/>
    <x v="0"/>
    <x v="1"/>
    <x v="0"/>
    <s v="No"/>
    <x v="1"/>
    <s v="No"/>
    <n v="0"/>
    <n v="1"/>
    <x v="4"/>
  </r>
  <r>
    <n v="3312"/>
    <x v="81"/>
    <x v="0"/>
    <d v="2024-05-17T00:00:00"/>
    <x v="1"/>
    <x v="0"/>
    <x v="2"/>
    <s v="Yes"/>
    <x v="0"/>
    <s v="Yes"/>
    <n v="20"/>
    <n v="7"/>
    <x v="12"/>
  </r>
  <r>
    <n v="3313"/>
    <x v="82"/>
    <x v="2"/>
    <d v="2024-05-18T00:00:00"/>
    <x v="0"/>
    <x v="2"/>
    <x v="0"/>
    <s v="No"/>
    <x v="1"/>
    <s v="Yes"/>
    <n v="20"/>
    <n v="10"/>
    <x v="2"/>
  </r>
  <r>
    <n v="3314"/>
    <x v="83"/>
    <x v="1"/>
    <d v="2024-05-19T00:00:00"/>
    <x v="1"/>
    <x v="1"/>
    <x v="1"/>
    <s v="No"/>
    <x v="1"/>
    <s v="No"/>
    <n v="0"/>
    <n v="0"/>
    <x v="1"/>
  </r>
  <r>
    <n v="3315"/>
    <x v="84"/>
    <x v="0"/>
    <d v="2024-05-20T00:00:00"/>
    <x v="0"/>
    <x v="0"/>
    <x v="0"/>
    <s v="Yes"/>
    <x v="0"/>
    <s v="Yes"/>
    <n v="20"/>
    <n v="20"/>
    <x v="8"/>
  </r>
  <r>
    <n v="3316"/>
    <x v="85"/>
    <x v="2"/>
    <d v="2024-05-21T00:00:00"/>
    <x v="1"/>
    <x v="2"/>
    <x v="2"/>
    <s v="No"/>
    <x v="1"/>
    <s v="Yes"/>
    <n v="20"/>
    <n v="15"/>
    <x v="7"/>
  </r>
  <r>
    <n v="3317"/>
    <x v="86"/>
    <x v="1"/>
    <d v="2024-05-22T00:00:00"/>
    <x v="0"/>
    <x v="1"/>
    <x v="0"/>
    <s v="No"/>
    <x v="1"/>
    <s v="No"/>
    <n v="0"/>
    <n v="1"/>
    <x v="4"/>
  </r>
  <r>
    <n v="3318"/>
    <x v="87"/>
    <x v="0"/>
    <d v="2024-05-23T00:00:00"/>
    <x v="1"/>
    <x v="0"/>
    <x v="1"/>
    <s v="Yes"/>
    <x v="0"/>
    <s v="Yes"/>
    <n v="20"/>
    <n v="3"/>
    <x v="3"/>
  </r>
  <r>
    <n v="3319"/>
    <x v="88"/>
    <x v="2"/>
    <d v="2024-05-24T00:00:00"/>
    <x v="0"/>
    <x v="2"/>
    <x v="0"/>
    <s v="No"/>
    <x v="1"/>
    <s v="Yes"/>
    <n v="20"/>
    <n v="10"/>
    <x v="2"/>
  </r>
  <r>
    <n v="3320"/>
    <x v="89"/>
    <x v="1"/>
    <d v="2024-05-25T00:00:00"/>
    <x v="1"/>
    <x v="1"/>
    <x v="2"/>
    <s v="No"/>
    <x v="1"/>
    <s v="No"/>
    <n v="0"/>
    <n v="0"/>
    <x v="1"/>
  </r>
  <r>
    <n v="3321"/>
    <x v="90"/>
    <x v="0"/>
    <d v="2024-05-26T00:00:00"/>
    <x v="0"/>
    <x v="0"/>
    <x v="0"/>
    <s v="Yes"/>
    <x v="0"/>
    <s v="Yes"/>
    <n v="20"/>
    <n v="5"/>
    <x v="0"/>
  </r>
  <r>
    <n v="3322"/>
    <x v="91"/>
    <x v="2"/>
    <d v="2024-05-27T00:00:00"/>
    <x v="1"/>
    <x v="2"/>
    <x v="1"/>
    <s v="No"/>
    <x v="1"/>
    <s v="Yes"/>
    <n v="20"/>
    <n v="15"/>
    <x v="7"/>
  </r>
  <r>
    <n v="3323"/>
    <x v="92"/>
    <x v="1"/>
    <d v="2024-05-28T00:00:00"/>
    <x v="0"/>
    <x v="1"/>
    <x v="0"/>
    <s v="No"/>
    <x v="1"/>
    <s v="No"/>
    <n v="0"/>
    <n v="1"/>
    <x v="4"/>
  </r>
  <r>
    <n v="3324"/>
    <x v="93"/>
    <x v="0"/>
    <d v="2024-05-29T00:00:00"/>
    <x v="1"/>
    <x v="0"/>
    <x v="2"/>
    <s v="Yes"/>
    <x v="0"/>
    <s v="Yes"/>
    <n v="20"/>
    <n v="20"/>
    <x v="8"/>
  </r>
  <r>
    <n v="3325"/>
    <x v="94"/>
    <x v="2"/>
    <d v="2024-05-30T00:00:00"/>
    <x v="0"/>
    <x v="2"/>
    <x v="2"/>
    <s v="No"/>
    <x v="1"/>
    <s v="Yes"/>
    <n v="20"/>
    <n v="15"/>
    <x v="7"/>
  </r>
  <r>
    <n v="3326"/>
    <x v="95"/>
    <x v="1"/>
    <d v="2024-05-31T00:00:00"/>
    <x v="1"/>
    <x v="1"/>
    <x v="1"/>
    <s v="No"/>
    <x v="1"/>
    <s v="No"/>
    <n v="0"/>
    <n v="0"/>
    <x v="1"/>
  </r>
  <r>
    <n v="3327"/>
    <x v="96"/>
    <x v="0"/>
    <d v="2024-06-01T00:00:00"/>
    <x v="0"/>
    <x v="0"/>
    <x v="0"/>
    <s v="Yes"/>
    <x v="0"/>
    <s v="Yes"/>
    <n v="20"/>
    <n v="7"/>
    <x v="12"/>
  </r>
  <r>
    <n v="3328"/>
    <x v="97"/>
    <x v="2"/>
    <d v="2024-06-02T00:00:00"/>
    <x v="1"/>
    <x v="2"/>
    <x v="1"/>
    <s v="No"/>
    <x v="1"/>
    <s v="Yes"/>
    <n v="20"/>
    <n v="10"/>
    <x v="2"/>
  </r>
  <r>
    <n v="3329"/>
    <x v="98"/>
    <x v="1"/>
    <d v="2024-06-03T00:00:00"/>
    <x v="0"/>
    <x v="1"/>
    <x v="2"/>
    <s v="No"/>
    <x v="1"/>
    <s v="No"/>
    <n v="0"/>
    <n v="1"/>
    <x v="4"/>
  </r>
  <r>
    <n v="3330"/>
    <x v="99"/>
    <x v="0"/>
    <d v="2024-06-04T00:00:00"/>
    <x v="1"/>
    <x v="0"/>
    <x v="0"/>
    <s v="Yes"/>
    <x v="0"/>
    <s v="Yes"/>
    <n v="20"/>
    <n v="15"/>
    <x v="14"/>
  </r>
  <r>
    <n v="3331"/>
    <x v="100"/>
    <x v="2"/>
    <d v="2024-06-05T00:00:00"/>
    <x v="0"/>
    <x v="2"/>
    <x v="0"/>
    <s v="No"/>
    <x v="1"/>
    <s v="Yes"/>
    <n v="20"/>
    <n v="5"/>
    <x v="13"/>
  </r>
  <r>
    <n v="3332"/>
    <x v="101"/>
    <x v="1"/>
    <d v="2024-06-06T00:00:00"/>
    <x v="1"/>
    <x v="1"/>
    <x v="1"/>
    <s v="No"/>
    <x v="1"/>
    <s v="No"/>
    <n v="0"/>
    <n v="0"/>
    <x v="1"/>
  </r>
  <r>
    <n v="3333"/>
    <x v="102"/>
    <x v="0"/>
    <d v="2024-06-07T00:00:00"/>
    <x v="0"/>
    <x v="0"/>
    <x v="2"/>
    <s v="Yes"/>
    <x v="0"/>
    <s v="Yes"/>
    <n v="20"/>
    <n v="20"/>
    <x v="8"/>
  </r>
  <r>
    <n v="3334"/>
    <x v="103"/>
    <x v="2"/>
    <d v="2024-06-08T00:00:00"/>
    <x v="1"/>
    <x v="2"/>
    <x v="2"/>
    <s v="No"/>
    <x v="1"/>
    <s v="Yes"/>
    <n v="20"/>
    <n v="12"/>
    <x v="10"/>
  </r>
  <r>
    <n v="3335"/>
    <x v="104"/>
    <x v="1"/>
    <d v="2024-06-09T00:00:00"/>
    <x v="0"/>
    <x v="1"/>
    <x v="0"/>
    <s v="No"/>
    <x v="1"/>
    <s v="No"/>
    <n v="0"/>
    <n v="2"/>
    <x v="11"/>
  </r>
  <r>
    <n v="3336"/>
    <x v="105"/>
    <x v="1"/>
    <d v="2024-06-10T00:00:00"/>
    <x v="0"/>
    <x v="1"/>
    <x v="0"/>
    <s v="No"/>
    <x v="1"/>
    <s v="No"/>
    <n v="0"/>
    <n v="0"/>
    <x v="1"/>
  </r>
  <r>
    <n v="3337"/>
    <x v="106"/>
    <x v="0"/>
    <d v="2024-06-11T00:00:00"/>
    <x v="1"/>
    <x v="0"/>
    <x v="2"/>
    <s v="Yes"/>
    <x v="0"/>
    <s v="Yes"/>
    <n v="20"/>
    <n v="7"/>
    <x v="12"/>
  </r>
  <r>
    <n v="3338"/>
    <x v="107"/>
    <x v="2"/>
    <d v="2024-06-12T00:00:00"/>
    <x v="0"/>
    <x v="2"/>
    <x v="1"/>
    <s v="No"/>
    <x v="1"/>
    <s v="Yes"/>
    <n v="20"/>
    <n v="10"/>
    <x v="2"/>
  </r>
  <r>
    <n v="3339"/>
    <x v="108"/>
    <x v="1"/>
    <d v="2024-06-13T00:00:00"/>
    <x v="1"/>
    <x v="1"/>
    <x v="2"/>
    <s v="No"/>
    <x v="1"/>
    <s v="No"/>
    <n v="0"/>
    <n v="1"/>
    <x v="4"/>
  </r>
  <r>
    <n v="3340"/>
    <x v="109"/>
    <x v="0"/>
    <d v="2024-06-14T00:00:00"/>
    <x v="0"/>
    <x v="0"/>
    <x v="0"/>
    <s v="Yes"/>
    <x v="0"/>
    <s v="Yes"/>
    <n v="20"/>
    <n v="15"/>
    <x v="14"/>
  </r>
  <r>
    <n v="3341"/>
    <x v="110"/>
    <x v="2"/>
    <d v="2024-06-15T00:00:00"/>
    <x v="1"/>
    <x v="2"/>
    <x v="0"/>
    <s v="No"/>
    <x v="1"/>
    <s v="Yes"/>
    <n v="20"/>
    <n v="5"/>
    <x v="13"/>
  </r>
  <r>
    <n v="3342"/>
    <x v="111"/>
    <x v="1"/>
    <d v="2024-06-16T00:00:00"/>
    <x v="0"/>
    <x v="1"/>
    <x v="1"/>
    <s v="No"/>
    <x v="1"/>
    <s v="No"/>
    <n v="0"/>
    <n v="0"/>
    <x v="1"/>
  </r>
  <r>
    <n v="3343"/>
    <x v="112"/>
    <x v="0"/>
    <d v="2024-06-17T00:00:00"/>
    <x v="1"/>
    <x v="0"/>
    <x v="2"/>
    <s v="Yes"/>
    <x v="0"/>
    <s v="Yes"/>
    <n v="20"/>
    <n v="20"/>
    <x v="8"/>
  </r>
  <r>
    <n v="3344"/>
    <x v="113"/>
    <x v="2"/>
    <d v="2024-06-18T00:00:00"/>
    <x v="0"/>
    <x v="2"/>
    <x v="2"/>
    <s v="No"/>
    <x v="1"/>
    <s v="Yes"/>
    <n v="20"/>
    <n v="12"/>
    <x v="10"/>
  </r>
  <r>
    <n v="3345"/>
    <x v="114"/>
    <x v="1"/>
    <d v="2024-06-19T00:00:00"/>
    <x v="1"/>
    <x v="1"/>
    <x v="0"/>
    <s v="No"/>
    <x v="1"/>
    <s v="No"/>
    <n v="0"/>
    <n v="2"/>
    <x v="11"/>
  </r>
  <r>
    <n v="3346"/>
    <x v="115"/>
    <x v="0"/>
    <d v="2024-06-20T00:00:00"/>
    <x v="0"/>
    <x v="0"/>
    <x v="1"/>
    <s v="Yes"/>
    <x v="0"/>
    <s v="Yes"/>
    <n v="20"/>
    <n v="5"/>
    <x v="0"/>
  </r>
  <r>
    <n v="3347"/>
    <x v="116"/>
    <x v="2"/>
    <d v="2024-06-21T00:00:00"/>
    <x v="1"/>
    <x v="2"/>
    <x v="0"/>
    <s v="No"/>
    <x v="1"/>
    <s v="Yes"/>
    <n v="20"/>
    <n v="10"/>
    <x v="2"/>
  </r>
  <r>
    <n v="3348"/>
    <x v="117"/>
    <x v="1"/>
    <d v="2024-06-22T00:00:00"/>
    <x v="0"/>
    <x v="1"/>
    <x v="2"/>
    <s v="No"/>
    <x v="1"/>
    <s v="No"/>
    <n v="0"/>
    <n v="0"/>
    <x v="1"/>
  </r>
  <r>
    <n v="3349"/>
    <x v="93"/>
    <x v="0"/>
    <d v="2024-06-23T00:00:00"/>
    <x v="1"/>
    <x v="0"/>
    <x v="0"/>
    <s v="Yes"/>
    <x v="0"/>
    <s v="Yes"/>
    <n v="20"/>
    <n v="3"/>
    <x v="3"/>
  </r>
  <r>
    <n v="3350"/>
    <x v="118"/>
    <x v="2"/>
    <d v="2024-06-24T00:00:00"/>
    <x v="0"/>
    <x v="2"/>
    <x v="1"/>
    <s v="No"/>
    <x v="1"/>
    <s v="Yes"/>
    <n v="20"/>
    <n v="15"/>
    <x v="7"/>
  </r>
  <r>
    <n v="3351"/>
    <x v="119"/>
    <x v="1"/>
    <d v="2024-06-25T00:00:00"/>
    <x v="1"/>
    <x v="1"/>
    <x v="0"/>
    <s v="No"/>
    <x v="1"/>
    <s v="No"/>
    <n v="0"/>
    <n v="1"/>
    <x v="4"/>
  </r>
  <r>
    <n v="3352"/>
    <x v="120"/>
    <x v="0"/>
    <d v="2024-06-26T00:00:00"/>
    <x v="0"/>
    <x v="0"/>
    <x v="2"/>
    <s v="Yes"/>
    <x v="0"/>
    <s v="Yes"/>
    <n v="20"/>
    <n v="7"/>
    <x v="12"/>
  </r>
  <r>
    <n v="3353"/>
    <x v="121"/>
    <x v="2"/>
    <d v="2024-06-27T00:00:00"/>
    <x v="1"/>
    <x v="2"/>
    <x v="0"/>
    <s v="No"/>
    <x v="1"/>
    <s v="Yes"/>
    <n v="20"/>
    <n v="10"/>
    <x v="2"/>
  </r>
  <r>
    <n v="3354"/>
    <x v="122"/>
    <x v="1"/>
    <d v="2024-06-28T00:00:00"/>
    <x v="0"/>
    <x v="1"/>
    <x v="1"/>
    <s v="No"/>
    <x v="1"/>
    <s v="No"/>
    <n v="0"/>
    <n v="0"/>
    <x v="1"/>
  </r>
  <r>
    <n v="3355"/>
    <x v="123"/>
    <x v="0"/>
    <d v="2024-06-29T00:00:00"/>
    <x v="1"/>
    <x v="0"/>
    <x v="0"/>
    <s v="Yes"/>
    <x v="0"/>
    <s v="Yes"/>
    <n v="20"/>
    <n v="20"/>
    <x v="8"/>
  </r>
  <r>
    <n v="3356"/>
    <x v="124"/>
    <x v="2"/>
    <d v="2024-06-30T00:00:00"/>
    <x v="0"/>
    <x v="2"/>
    <x v="2"/>
    <s v="No"/>
    <x v="1"/>
    <s v="Yes"/>
    <n v="20"/>
    <n v="15"/>
    <x v="7"/>
  </r>
  <r>
    <n v="3357"/>
    <x v="125"/>
    <x v="1"/>
    <d v="2024-07-01T00:00:00"/>
    <x v="1"/>
    <x v="1"/>
    <x v="0"/>
    <s v="No"/>
    <x v="1"/>
    <s v="No"/>
    <n v="0"/>
    <n v="1"/>
    <x v="4"/>
  </r>
  <r>
    <n v="3358"/>
    <x v="126"/>
    <x v="0"/>
    <d v="2024-07-02T00:00:00"/>
    <x v="0"/>
    <x v="0"/>
    <x v="1"/>
    <s v="Yes"/>
    <x v="0"/>
    <s v="Yes"/>
    <n v="20"/>
    <n v="3"/>
    <x v="3"/>
  </r>
  <r>
    <n v="3359"/>
    <x v="127"/>
    <x v="2"/>
    <d v="2024-07-03T00:00:00"/>
    <x v="1"/>
    <x v="2"/>
    <x v="0"/>
    <s v="No"/>
    <x v="1"/>
    <s v="Yes"/>
    <n v="20"/>
    <n v="10"/>
    <x v="2"/>
  </r>
  <r>
    <n v="3360"/>
    <x v="128"/>
    <x v="1"/>
    <d v="2024-07-04T00:00:00"/>
    <x v="0"/>
    <x v="1"/>
    <x v="2"/>
    <s v="No"/>
    <x v="1"/>
    <s v="No"/>
    <n v="0"/>
    <n v="0"/>
    <x v="1"/>
  </r>
  <r>
    <n v="3361"/>
    <x v="129"/>
    <x v="0"/>
    <d v="2024-07-05T00:00:00"/>
    <x v="1"/>
    <x v="0"/>
    <x v="0"/>
    <s v="Yes"/>
    <x v="0"/>
    <s v="Yes"/>
    <n v="20"/>
    <n v="15"/>
    <x v="14"/>
  </r>
  <r>
    <n v="3362"/>
    <x v="130"/>
    <x v="2"/>
    <d v="2024-07-06T00:00:00"/>
    <x v="0"/>
    <x v="2"/>
    <x v="1"/>
    <s v="No"/>
    <x v="1"/>
    <s v="Yes"/>
    <n v="20"/>
    <n v="15"/>
    <x v="7"/>
  </r>
  <r>
    <n v="3363"/>
    <x v="131"/>
    <x v="1"/>
    <d v="2024-07-07T00:00:00"/>
    <x v="1"/>
    <x v="1"/>
    <x v="0"/>
    <s v="No"/>
    <x v="1"/>
    <s v="No"/>
    <n v="0"/>
    <n v="1"/>
    <x v="4"/>
  </r>
  <r>
    <n v="3364"/>
    <x v="132"/>
    <x v="0"/>
    <d v="2024-07-08T00:00:00"/>
    <x v="0"/>
    <x v="0"/>
    <x v="2"/>
    <s v="Yes"/>
    <x v="0"/>
    <s v="Yes"/>
    <n v="20"/>
    <n v="7"/>
    <x v="12"/>
  </r>
  <r>
    <n v="3365"/>
    <x v="133"/>
    <x v="2"/>
    <d v="2024-07-09T00:00:00"/>
    <x v="1"/>
    <x v="2"/>
    <x v="0"/>
    <s v="No"/>
    <x v="1"/>
    <s v="Yes"/>
    <n v="20"/>
    <n v="10"/>
    <x v="2"/>
  </r>
  <r>
    <n v="3366"/>
    <x v="134"/>
    <x v="1"/>
    <d v="2024-07-10T00:00:00"/>
    <x v="0"/>
    <x v="1"/>
    <x v="0"/>
    <s v="No"/>
    <x v="1"/>
    <s v="No"/>
    <n v="0"/>
    <n v="0"/>
    <x v="1"/>
  </r>
  <r>
    <n v="3367"/>
    <x v="135"/>
    <x v="0"/>
    <d v="2024-07-11T00:00:00"/>
    <x v="1"/>
    <x v="0"/>
    <x v="2"/>
    <s v="Yes"/>
    <x v="0"/>
    <s v="Yes"/>
    <n v="20"/>
    <n v="7"/>
    <x v="12"/>
  </r>
  <r>
    <n v="3368"/>
    <x v="136"/>
    <x v="2"/>
    <d v="2024-07-12T00:00:00"/>
    <x v="0"/>
    <x v="2"/>
    <x v="1"/>
    <s v="No"/>
    <x v="1"/>
    <s v="Yes"/>
    <n v="20"/>
    <n v="10"/>
    <x v="2"/>
  </r>
  <r>
    <n v="3369"/>
    <x v="137"/>
    <x v="1"/>
    <d v="2024-07-13T00:00:00"/>
    <x v="1"/>
    <x v="1"/>
    <x v="2"/>
    <s v="No"/>
    <x v="1"/>
    <s v="No"/>
    <n v="0"/>
    <n v="1"/>
    <x v="4"/>
  </r>
  <r>
    <n v="3370"/>
    <x v="138"/>
    <x v="0"/>
    <d v="2024-07-14T00:00:00"/>
    <x v="0"/>
    <x v="0"/>
    <x v="0"/>
    <s v="Yes"/>
    <x v="0"/>
    <s v="Yes"/>
    <n v="20"/>
    <n v="15"/>
    <x v="14"/>
  </r>
  <r>
    <n v="3371"/>
    <x v="139"/>
    <x v="2"/>
    <d v="2024-07-15T00:00:00"/>
    <x v="1"/>
    <x v="2"/>
    <x v="0"/>
    <s v="No"/>
    <x v="1"/>
    <s v="Yes"/>
    <n v="20"/>
    <n v="5"/>
    <x v="13"/>
  </r>
  <r>
    <n v="3372"/>
    <x v="140"/>
    <x v="1"/>
    <d v="2024-07-16T00:00:00"/>
    <x v="0"/>
    <x v="1"/>
    <x v="1"/>
    <s v="No"/>
    <x v="1"/>
    <s v="No"/>
    <n v="0"/>
    <n v="0"/>
    <x v="1"/>
  </r>
  <r>
    <n v="3373"/>
    <x v="141"/>
    <x v="0"/>
    <d v="2024-07-17T00:00:00"/>
    <x v="1"/>
    <x v="0"/>
    <x v="2"/>
    <s v="Yes"/>
    <x v="0"/>
    <s v="Yes"/>
    <n v="20"/>
    <n v="20"/>
    <x v="8"/>
  </r>
  <r>
    <n v="3374"/>
    <x v="142"/>
    <x v="2"/>
    <d v="2024-07-18T00:00:00"/>
    <x v="0"/>
    <x v="2"/>
    <x v="2"/>
    <s v="No"/>
    <x v="1"/>
    <s v="Yes"/>
    <n v="20"/>
    <n v="12"/>
    <x v="10"/>
  </r>
  <r>
    <n v="3375"/>
    <x v="143"/>
    <x v="1"/>
    <d v="2024-07-19T00:00:00"/>
    <x v="1"/>
    <x v="1"/>
    <x v="0"/>
    <s v="No"/>
    <x v="1"/>
    <s v="No"/>
    <n v="0"/>
    <n v="2"/>
    <x v="11"/>
  </r>
  <r>
    <n v="3376"/>
    <x v="144"/>
    <x v="0"/>
    <d v="2024-07-20T00:00:00"/>
    <x v="0"/>
    <x v="0"/>
    <x v="1"/>
    <s v="Yes"/>
    <x v="0"/>
    <s v="Yes"/>
    <n v="20"/>
    <n v="5"/>
    <x v="0"/>
  </r>
  <r>
    <n v="3377"/>
    <x v="145"/>
    <x v="2"/>
    <d v="2024-07-21T00:00:00"/>
    <x v="1"/>
    <x v="2"/>
    <x v="0"/>
    <s v="No"/>
    <x v="1"/>
    <s v="Yes"/>
    <n v="20"/>
    <n v="10"/>
    <x v="2"/>
  </r>
  <r>
    <n v="3378"/>
    <x v="146"/>
    <x v="1"/>
    <d v="2024-07-22T00:00:00"/>
    <x v="0"/>
    <x v="1"/>
    <x v="2"/>
    <s v="No"/>
    <x v="1"/>
    <s v="No"/>
    <n v="0"/>
    <n v="0"/>
    <x v="1"/>
  </r>
  <r>
    <n v="3379"/>
    <x v="147"/>
    <x v="0"/>
    <d v="2024-07-23T00:00:00"/>
    <x v="1"/>
    <x v="0"/>
    <x v="0"/>
    <s v="Yes"/>
    <x v="0"/>
    <s v="Yes"/>
    <n v="20"/>
    <n v="3"/>
    <x v="3"/>
  </r>
  <r>
    <n v="3380"/>
    <x v="148"/>
    <x v="2"/>
    <d v="2024-07-24T00:00:00"/>
    <x v="0"/>
    <x v="2"/>
    <x v="1"/>
    <s v="No"/>
    <x v="1"/>
    <s v="Yes"/>
    <n v="20"/>
    <n v="15"/>
    <x v="7"/>
  </r>
  <r>
    <n v="3381"/>
    <x v="149"/>
    <x v="1"/>
    <d v="2024-07-25T00:00:00"/>
    <x v="1"/>
    <x v="1"/>
    <x v="0"/>
    <s v="No"/>
    <x v="1"/>
    <s v="No"/>
    <n v="0"/>
    <n v="1"/>
    <x v="4"/>
  </r>
  <r>
    <n v="3382"/>
    <x v="150"/>
    <x v="0"/>
    <d v="2024-07-26T00:00:00"/>
    <x v="0"/>
    <x v="0"/>
    <x v="2"/>
    <s v="Yes"/>
    <x v="0"/>
    <s v="Yes"/>
    <n v="20"/>
    <n v="7"/>
    <x v="12"/>
  </r>
  <r>
    <n v="3383"/>
    <x v="151"/>
    <x v="2"/>
    <d v="2024-07-27T00:00:00"/>
    <x v="1"/>
    <x v="2"/>
    <x v="0"/>
    <s v="No"/>
    <x v="1"/>
    <s v="Yes"/>
    <n v="20"/>
    <n v="10"/>
    <x v="2"/>
  </r>
  <r>
    <n v="3384"/>
    <x v="152"/>
    <x v="1"/>
    <d v="2024-07-28T00:00:00"/>
    <x v="0"/>
    <x v="1"/>
    <x v="1"/>
    <s v="No"/>
    <x v="1"/>
    <s v="No"/>
    <n v="0"/>
    <n v="0"/>
    <x v="1"/>
  </r>
  <r>
    <n v="3385"/>
    <x v="153"/>
    <x v="0"/>
    <d v="2024-07-29T00:00:00"/>
    <x v="1"/>
    <x v="0"/>
    <x v="0"/>
    <s v="Yes"/>
    <x v="0"/>
    <s v="Yes"/>
    <n v="20"/>
    <n v="20"/>
    <x v="8"/>
  </r>
  <r>
    <n v="3386"/>
    <x v="154"/>
    <x v="2"/>
    <d v="2024-07-30T00:00:00"/>
    <x v="0"/>
    <x v="2"/>
    <x v="2"/>
    <s v="No"/>
    <x v="1"/>
    <s v="Yes"/>
    <n v="20"/>
    <n v="15"/>
    <x v="7"/>
  </r>
  <r>
    <n v="3387"/>
    <x v="155"/>
    <x v="1"/>
    <d v="2024-07-31T00:00:00"/>
    <x v="1"/>
    <x v="1"/>
    <x v="0"/>
    <s v="No"/>
    <x v="1"/>
    <s v="No"/>
    <n v="0"/>
    <n v="1"/>
    <x v="4"/>
  </r>
  <r>
    <n v="3388"/>
    <x v="156"/>
    <x v="0"/>
    <d v="2024-08-01T00:00:00"/>
    <x v="0"/>
    <x v="0"/>
    <x v="1"/>
    <s v="Yes"/>
    <x v="0"/>
    <s v="Yes"/>
    <n v="20"/>
    <n v="3"/>
    <x v="3"/>
  </r>
  <r>
    <n v="3389"/>
    <x v="157"/>
    <x v="2"/>
    <d v="2024-08-02T00:00:00"/>
    <x v="1"/>
    <x v="2"/>
    <x v="0"/>
    <s v="No"/>
    <x v="1"/>
    <s v="Yes"/>
    <n v="20"/>
    <n v="10"/>
    <x v="2"/>
  </r>
  <r>
    <n v="3390"/>
    <x v="158"/>
    <x v="1"/>
    <d v="2024-08-03T00:00:00"/>
    <x v="0"/>
    <x v="1"/>
    <x v="2"/>
    <s v="No"/>
    <x v="1"/>
    <s v="No"/>
    <n v="0"/>
    <n v="0"/>
    <x v="1"/>
  </r>
  <r>
    <n v="3391"/>
    <x v="58"/>
    <x v="0"/>
    <d v="2024-08-04T00:00:00"/>
    <x v="1"/>
    <x v="0"/>
    <x v="0"/>
    <s v="Yes"/>
    <x v="0"/>
    <s v="Yes"/>
    <n v="20"/>
    <n v="15"/>
    <x v="14"/>
  </r>
  <r>
    <n v="3392"/>
    <x v="159"/>
    <x v="2"/>
    <d v="2024-08-05T00:00:00"/>
    <x v="0"/>
    <x v="2"/>
    <x v="1"/>
    <s v="No"/>
    <x v="1"/>
    <s v="Yes"/>
    <n v="20"/>
    <n v="15"/>
    <x v="7"/>
  </r>
  <r>
    <n v="3393"/>
    <x v="160"/>
    <x v="1"/>
    <d v="2024-08-06T00:00:00"/>
    <x v="1"/>
    <x v="1"/>
    <x v="0"/>
    <s v="No"/>
    <x v="1"/>
    <s v="No"/>
    <n v="0"/>
    <n v="1"/>
    <x v="4"/>
  </r>
  <r>
    <n v="3394"/>
    <x v="161"/>
    <x v="0"/>
    <d v="2024-08-07T00:00:00"/>
    <x v="0"/>
    <x v="0"/>
    <x v="2"/>
    <s v="Yes"/>
    <x v="0"/>
    <s v="Yes"/>
    <n v="20"/>
    <n v="7"/>
    <x v="12"/>
  </r>
  <r>
    <n v="3395"/>
    <x v="162"/>
    <x v="2"/>
    <d v="2024-08-08T00:00:00"/>
    <x v="1"/>
    <x v="2"/>
    <x v="0"/>
    <s v="No"/>
    <x v="1"/>
    <s v="Yes"/>
    <n v="20"/>
    <n v="10"/>
    <x v="2"/>
  </r>
  <r>
    <n v="3396"/>
    <x v="163"/>
    <x v="1"/>
    <d v="2024-08-09T00:00:00"/>
    <x v="0"/>
    <x v="1"/>
    <x v="1"/>
    <s v="No"/>
    <x v="1"/>
    <s v="No"/>
    <n v="0"/>
    <n v="0"/>
    <x v="1"/>
  </r>
  <r>
    <n v="3397"/>
    <x v="90"/>
    <x v="0"/>
    <d v="2024-08-10T00:00:00"/>
    <x v="1"/>
    <x v="0"/>
    <x v="0"/>
    <s v="Yes"/>
    <x v="0"/>
    <s v="Yes"/>
    <n v="20"/>
    <n v="20"/>
    <x v="8"/>
  </r>
  <r>
    <n v="3398"/>
    <x v="164"/>
    <x v="2"/>
    <d v="2024-08-11T00:00:00"/>
    <x v="0"/>
    <x v="2"/>
    <x v="2"/>
    <s v="No"/>
    <x v="1"/>
    <s v="Yes"/>
    <n v="20"/>
    <n v="15"/>
    <x v="7"/>
  </r>
  <r>
    <n v="3399"/>
    <x v="165"/>
    <x v="1"/>
    <d v="2024-08-12T00:00:00"/>
    <x v="1"/>
    <x v="1"/>
    <x v="0"/>
    <s v="No"/>
    <x v="1"/>
    <s v="No"/>
    <n v="0"/>
    <n v="1"/>
    <x v="4"/>
  </r>
  <r>
    <n v="3400"/>
    <x v="166"/>
    <x v="0"/>
    <d v="2024-08-13T00:00:00"/>
    <x v="0"/>
    <x v="0"/>
    <x v="1"/>
    <s v="Yes"/>
    <x v="0"/>
    <s v="Yes"/>
    <n v="20"/>
    <n v="5"/>
    <x v="0"/>
  </r>
  <r>
    <n v="3401"/>
    <x v="167"/>
    <x v="2"/>
    <d v="2024-08-14T00:00:00"/>
    <x v="1"/>
    <x v="2"/>
    <x v="0"/>
    <s v="No"/>
    <x v="1"/>
    <s v="Yes"/>
    <n v="20"/>
    <n v="10"/>
    <x v="2"/>
  </r>
  <r>
    <n v="3402"/>
    <x v="168"/>
    <x v="1"/>
    <d v="2024-08-15T00:00:00"/>
    <x v="0"/>
    <x v="1"/>
    <x v="2"/>
    <s v="No"/>
    <x v="1"/>
    <s v="No"/>
    <n v="0"/>
    <n v="0"/>
    <x v="1"/>
  </r>
  <r>
    <n v="3403"/>
    <x v="169"/>
    <x v="0"/>
    <d v="2024-08-16T00:00:00"/>
    <x v="1"/>
    <x v="0"/>
    <x v="0"/>
    <s v="Yes"/>
    <x v="0"/>
    <s v="Yes"/>
    <n v="20"/>
    <n v="3"/>
    <x v="3"/>
  </r>
  <r>
    <n v="3404"/>
    <x v="170"/>
    <x v="2"/>
    <d v="2024-08-17T00:00:00"/>
    <x v="0"/>
    <x v="2"/>
    <x v="1"/>
    <s v="No"/>
    <x v="1"/>
    <s v="Yes"/>
    <n v="20"/>
    <n v="15"/>
    <x v="7"/>
  </r>
  <r>
    <n v="3405"/>
    <x v="171"/>
    <x v="1"/>
    <d v="2024-08-18T00:00:00"/>
    <x v="1"/>
    <x v="1"/>
    <x v="0"/>
    <s v="No"/>
    <x v="1"/>
    <s v="No"/>
    <n v="0"/>
    <n v="1"/>
    <x v="4"/>
  </r>
  <r>
    <n v="3406"/>
    <x v="172"/>
    <x v="1"/>
    <d v="2024-08-19T00:00:00"/>
    <x v="0"/>
    <x v="1"/>
    <x v="0"/>
    <s v="No"/>
    <x v="1"/>
    <s v="No"/>
    <n v="0"/>
    <n v="0"/>
    <x v="1"/>
  </r>
  <r>
    <n v="3407"/>
    <x v="173"/>
    <x v="0"/>
    <d v="2024-08-20T00:00:00"/>
    <x v="1"/>
    <x v="0"/>
    <x v="2"/>
    <s v="Yes"/>
    <x v="0"/>
    <s v="Yes"/>
    <n v="20"/>
    <n v="7"/>
    <x v="12"/>
  </r>
  <r>
    <n v="3408"/>
    <x v="174"/>
    <x v="2"/>
    <d v="2024-08-21T00:00:00"/>
    <x v="0"/>
    <x v="2"/>
    <x v="1"/>
    <s v="No"/>
    <x v="1"/>
    <s v="Yes"/>
    <n v="20"/>
    <n v="10"/>
    <x v="2"/>
  </r>
  <r>
    <n v="3409"/>
    <x v="175"/>
    <x v="1"/>
    <d v="2024-08-22T00:00:00"/>
    <x v="1"/>
    <x v="1"/>
    <x v="2"/>
    <s v="No"/>
    <x v="1"/>
    <s v="No"/>
    <n v="0"/>
    <n v="1"/>
    <x v="4"/>
  </r>
  <r>
    <n v="3410"/>
    <x v="176"/>
    <x v="0"/>
    <d v="2024-08-23T00:00:00"/>
    <x v="0"/>
    <x v="0"/>
    <x v="0"/>
    <s v="Yes"/>
    <x v="0"/>
    <s v="Yes"/>
    <n v="20"/>
    <n v="15"/>
    <x v="14"/>
  </r>
  <r>
    <n v="3411"/>
    <x v="177"/>
    <x v="2"/>
    <d v="2024-08-24T00:00:00"/>
    <x v="1"/>
    <x v="2"/>
    <x v="0"/>
    <s v="No"/>
    <x v="1"/>
    <s v="Yes"/>
    <n v="20"/>
    <n v="5"/>
    <x v="13"/>
  </r>
  <r>
    <n v="3412"/>
    <x v="178"/>
    <x v="1"/>
    <d v="2024-08-25T00:00:00"/>
    <x v="0"/>
    <x v="1"/>
    <x v="1"/>
    <s v="No"/>
    <x v="1"/>
    <s v="No"/>
    <n v="0"/>
    <n v="0"/>
    <x v="1"/>
  </r>
  <r>
    <n v="3413"/>
    <x v="179"/>
    <x v="0"/>
    <d v="2024-08-26T00:00:00"/>
    <x v="1"/>
    <x v="0"/>
    <x v="2"/>
    <s v="Yes"/>
    <x v="0"/>
    <s v="Yes"/>
    <n v="20"/>
    <n v="20"/>
    <x v="8"/>
  </r>
  <r>
    <n v="3414"/>
    <x v="180"/>
    <x v="2"/>
    <d v="2024-08-27T00:00:00"/>
    <x v="0"/>
    <x v="2"/>
    <x v="2"/>
    <s v="No"/>
    <x v="1"/>
    <s v="Yes"/>
    <n v="20"/>
    <n v="12"/>
    <x v="10"/>
  </r>
  <r>
    <n v="3415"/>
    <x v="181"/>
    <x v="1"/>
    <d v="2024-08-28T00:00:00"/>
    <x v="1"/>
    <x v="1"/>
    <x v="0"/>
    <s v="No"/>
    <x v="1"/>
    <s v="No"/>
    <n v="0"/>
    <n v="2"/>
    <x v="11"/>
  </r>
  <r>
    <n v="3416"/>
    <x v="182"/>
    <x v="0"/>
    <d v="2024-08-29T00:00:00"/>
    <x v="0"/>
    <x v="0"/>
    <x v="1"/>
    <s v="Yes"/>
    <x v="0"/>
    <s v="Yes"/>
    <n v="20"/>
    <n v="5"/>
    <x v="0"/>
  </r>
  <r>
    <n v="3417"/>
    <x v="183"/>
    <x v="2"/>
    <d v="2024-08-30T00:00:00"/>
    <x v="1"/>
    <x v="2"/>
    <x v="0"/>
    <s v="No"/>
    <x v="1"/>
    <s v="Yes"/>
    <n v="20"/>
    <n v="10"/>
    <x v="2"/>
  </r>
  <r>
    <n v="3418"/>
    <x v="184"/>
    <x v="1"/>
    <d v="2024-08-31T00:00:00"/>
    <x v="0"/>
    <x v="1"/>
    <x v="2"/>
    <s v="No"/>
    <x v="1"/>
    <s v="No"/>
    <n v="0"/>
    <n v="0"/>
    <x v="1"/>
  </r>
  <r>
    <n v="3419"/>
    <x v="185"/>
    <x v="0"/>
    <d v="2024-09-01T00:00:00"/>
    <x v="1"/>
    <x v="0"/>
    <x v="0"/>
    <s v="Yes"/>
    <x v="0"/>
    <s v="Yes"/>
    <n v="20"/>
    <n v="3"/>
    <x v="3"/>
  </r>
  <r>
    <n v="3420"/>
    <x v="186"/>
    <x v="2"/>
    <d v="2024-09-02T00:00:00"/>
    <x v="0"/>
    <x v="2"/>
    <x v="1"/>
    <s v="No"/>
    <x v="1"/>
    <s v="Yes"/>
    <n v="20"/>
    <n v="15"/>
    <x v="7"/>
  </r>
  <r>
    <n v="3421"/>
    <x v="15"/>
    <x v="1"/>
    <d v="2024-09-03T00:00:00"/>
    <x v="1"/>
    <x v="1"/>
    <x v="0"/>
    <s v="No"/>
    <x v="1"/>
    <s v="No"/>
    <n v="0"/>
    <n v="1"/>
    <x v="4"/>
  </r>
  <r>
    <n v="3422"/>
    <x v="187"/>
    <x v="0"/>
    <d v="2024-09-04T00:00:00"/>
    <x v="0"/>
    <x v="0"/>
    <x v="2"/>
    <s v="Yes"/>
    <x v="0"/>
    <s v="Yes"/>
    <n v="20"/>
    <n v="7"/>
    <x v="12"/>
  </r>
  <r>
    <n v="3423"/>
    <x v="188"/>
    <x v="2"/>
    <d v="2024-09-05T00:00:00"/>
    <x v="1"/>
    <x v="2"/>
    <x v="0"/>
    <s v="No"/>
    <x v="1"/>
    <s v="Yes"/>
    <n v="20"/>
    <n v="10"/>
    <x v="2"/>
  </r>
  <r>
    <n v="3424"/>
    <x v="14"/>
    <x v="1"/>
    <d v="2024-09-06T00:00:00"/>
    <x v="0"/>
    <x v="1"/>
    <x v="1"/>
    <s v="No"/>
    <x v="1"/>
    <s v="No"/>
    <n v="0"/>
    <n v="0"/>
    <x v="1"/>
  </r>
  <r>
    <n v="3425"/>
    <x v="189"/>
    <x v="0"/>
    <d v="2024-09-07T00:00:00"/>
    <x v="1"/>
    <x v="0"/>
    <x v="0"/>
    <s v="Yes"/>
    <x v="0"/>
    <s v="Yes"/>
    <n v="20"/>
    <n v="20"/>
    <x v="8"/>
  </r>
  <r>
    <n v="3426"/>
    <x v="167"/>
    <x v="2"/>
    <d v="2024-09-08T00:00:00"/>
    <x v="0"/>
    <x v="2"/>
    <x v="2"/>
    <s v="No"/>
    <x v="1"/>
    <s v="Yes"/>
    <n v="20"/>
    <n v="15"/>
    <x v="7"/>
  </r>
  <r>
    <n v="3427"/>
    <x v="190"/>
    <x v="1"/>
    <d v="2024-09-09T00:00:00"/>
    <x v="1"/>
    <x v="1"/>
    <x v="0"/>
    <s v="No"/>
    <x v="1"/>
    <s v="No"/>
    <n v="0"/>
    <n v="1"/>
    <x v="4"/>
  </r>
  <r>
    <n v="3428"/>
    <x v="191"/>
    <x v="0"/>
    <d v="2024-09-10T00:00:00"/>
    <x v="0"/>
    <x v="0"/>
    <x v="1"/>
    <s v="Yes"/>
    <x v="0"/>
    <s v="Yes"/>
    <n v="20"/>
    <n v="3"/>
    <x v="3"/>
  </r>
  <r>
    <n v="3429"/>
    <x v="192"/>
    <x v="2"/>
    <d v="2024-09-11T00:00:00"/>
    <x v="1"/>
    <x v="2"/>
    <x v="0"/>
    <s v="No"/>
    <x v="1"/>
    <s v="Yes"/>
    <n v="20"/>
    <n v="10"/>
    <x v="2"/>
  </r>
  <r>
    <n v="3430"/>
    <x v="193"/>
    <x v="1"/>
    <d v="2024-09-12T00:00:00"/>
    <x v="0"/>
    <x v="1"/>
    <x v="2"/>
    <s v="No"/>
    <x v="1"/>
    <s v="No"/>
    <n v="0"/>
    <n v="0"/>
    <x v="1"/>
  </r>
  <r>
    <n v="3431"/>
    <x v="194"/>
    <x v="0"/>
    <d v="2024-09-13T00:00:00"/>
    <x v="1"/>
    <x v="0"/>
    <x v="0"/>
    <s v="Yes"/>
    <x v="0"/>
    <s v="Yes"/>
    <n v="20"/>
    <n v="15"/>
    <x v="14"/>
  </r>
  <r>
    <n v="3432"/>
    <x v="195"/>
    <x v="2"/>
    <d v="2024-09-14T00:00:00"/>
    <x v="0"/>
    <x v="2"/>
    <x v="1"/>
    <s v="No"/>
    <x v="1"/>
    <s v="Yes"/>
    <n v="20"/>
    <n v="15"/>
    <x v="7"/>
  </r>
  <r>
    <n v="3433"/>
    <x v="196"/>
    <x v="1"/>
    <d v="2024-09-15T00:00:00"/>
    <x v="1"/>
    <x v="1"/>
    <x v="0"/>
    <s v="No"/>
    <x v="1"/>
    <s v="No"/>
    <n v="0"/>
    <n v="1"/>
    <x v="4"/>
  </r>
  <r>
    <n v="3434"/>
    <x v="197"/>
    <x v="0"/>
    <d v="2024-09-16T00:00:00"/>
    <x v="0"/>
    <x v="0"/>
    <x v="2"/>
    <s v="Yes"/>
    <x v="0"/>
    <s v="Yes"/>
    <n v="20"/>
    <n v="7"/>
    <x v="12"/>
  </r>
  <r>
    <n v="3435"/>
    <x v="198"/>
    <x v="2"/>
    <d v="2024-09-17T00:00:00"/>
    <x v="1"/>
    <x v="2"/>
    <x v="0"/>
    <s v="No"/>
    <x v="1"/>
    <s v="Yes"/>
    <n v="20"/>
    <n v="10"/>
    <x v="2"/>
  </r>
  <r>
    <n v="3436"/>
    <x v="199"/>
    <x v="1"/>
    <d v="2024-09-18T00:00:00"/>
    <x v="0"/>
    <x v="1"/>
    <x v="0"/>
    <s v="No"/>
    <x v="1"/>
    <s v="No"/>
    <n v="0"/>
    <n v="0"/>
    <x v="1"/>
  </r>
  <r>
    <n v="3437"/>
    <x v="200"/>
    <x v="0"/>
    <d v="2024-09-19T00:00:00"/>
    <x v="1"/>
    <x v="0"/>
    <x v="2"/>
    <s v="Yes"/>
    <x v="0"/>
    <s v="Yes"/>
    <n v="20"/>
    <n v="7"/>
    <x v="12"/>
  </r>
  <r>
    <n v="3438"/>
    <x v="201"/>
    <x v="2"/>
    <d v="2024-09-20T00:00:00"/>
    <x v="0"/>
    <x v="2"/>
    <x v="1"/>
    <s v="No"/>
    <x v="1"/>
    <s v="Yes"/>
    <n v="20"/>
    <n v="10"/>
    <x v="2"/>
  </r>
  <r>
    <n v="3439"/>
    <x v="202"/>
    <x v="1"/>
    <d v="2024-09-21T00:00:00"/>
    <x v="1"/>
    <x v="1"/>
    <x v="2"/>
    <s v="No"/>
    <x v="1"/>
    <s v="No"/>
    <n v="0"/>
    <n v="1"/>
    <x v="4"/>
  </r>
  <r>
    <n v="3440"/>
    <x v="203"/>
    <x v="0"/>
    <d v="2024-09-22T00:00:00"/>
    <x v="0"/>
    <x v="0"/>
    <x v="0"/>
    <s v="Yes"/>
    <x v="0"/>
    <s v="Yes"/>
    <n v="20"/>
    <n v="15"/>
    <x v="14"/>
  </r>
  <r>
    <n v="3441"/>
    <x v="204"/>
    <x v="2"/>
    <d v="2024-09-23T00:00:00"/>
    <x v="1"/>
    <x v="2"/>
    <x v="0"/>
    <s v="No"/>
    <x v="1"/>
    <s v="Yes"/>
    <n v="20"/>
    <n v="5"/>
    <x v="13"/>
  </r>
  <r>
    <n v="3442"/>
    <x v="205"/>
    <x v="1"/>
    <d v="2024-09-24T00:00:00"/>
    <x v="0"/>
    <x v="1"/>
    <x v="1"/>
    <s v="No"/>
    <x v="1"/>
    <s v="No"/>
    <n v="0"/>
    <n v="0"/>
    <x v="1"/>
  </r>
  <r>
    <n v="3443"/>
    <x v="206"/>
    <x v="0"/>
    <d v="2024-09-25T00:00:00"/>
    <x v="1"/>
    <x v="0"/>
    <x v="2"/>
    <s v="Yes"/>
    <x v="0"/>
    <s v="Yes"/>
    <n v="20"/>
    <n v="20"/>
    <x v="8"/>
  </r>
  <r>
    <n v="3444"/>
    <x v="207"/>
    <x v="2"/>
    <d v="2024-09-26T00:00:00"/>
    <x v="0"/>
    <x v="2"/>
    <x v="2"/>
    <s v="No"/>
    <x v="1"/>
    <s v="Yes"/>
    <n v="20"/>
    <n v="12"/>
    <x v="10"/>
  </r>
  <r>
    <n v="3445"/>
    <x v="37"/>
    <x v="1"/>
    <d v="2024-09-27T00:00:00"/>
    <x v="1"/>
    <x v="1"/>
    <x v="0"/>
    <s v="No"/>
    <x v="1"/>
    <s v="No"/>
    <n v="0"/>
    <n v="2"/>
    <x v="11"/>
  </r>
  <r>
    <n v="3446"/>
    <x v="208"/>
    <x v="0"/>
    <d v="2024-09-28T00:00:00"/>
    <x v="0"/>
    <x v="0"/>
    <x v="1"/>
    <s v="Yes"/>
    <x v="0"/>
    <s v="Yes"/>
    <n v="20"/>
    <n v="5"/>
    <x v="0"/>
  </r>
  <r>
    <n v="3447"/>
    <x v="209"/>
    <x v="2"/>
    <d v="2024-09-29T00:00:00"/>
    <x v="1"/>
    <x v="2"/>
    <x v="0"/>
    <s v="No"/>
    <x v="1"/>
    <s v="Yes"/>
    <n v="20"/>
    <n v="10"/>
    <x v="2"/>
  </r>
  <r>
    <n v="3448"/>
    <x v="210"/>
    <x v="1"/>
    <d v="2024-09-30T00:00:00"/>
    <x v="0"/>
    <x v="1"/>
    <x v="2"/>
    <s v="No"/>
    <x v="1"/>
    <s v="No"/>
    <n v="0"/>
    <n v="0"/>
    <x v="1"/>
  </r>
  <r>
    <n v="3449"/>
    <x v="211"/>
    <x v="0"/>
    <d v="2024-10-01T00:00:00"/>
    <x v="1"/>
    <x v="0"/>
    <x v="0"/>
    <s v="Yes"/>
    <x v="0"/>
    <s v="Yes"/>
    <n v="20"/>
    <n v="3"/>
    <x v="3"/>
  </r>
  <r>
    <n v="3450"/>
    <x v="212"/>
    <x v="2"/>
    <d v="2024-10-02T00:00:00"/>
    <x v="0"/>
    <x v="2"/>
    <x v="1"/>
    <s v="No"/>
    <x v="1"/>
    <s v="Yes"/>
    <n v="20"/>
    <n v="15"/>
    <x v="7"/>
  </r>
  <r>
    <n v="3451"/>
    <x v="213"/>
    <x v="1"/>
    <d v="2024-10-03T00:00:00"/>
    <x v="1"/>
    <x v="1"/>
    <x v="0"/>
    <s v="No"/>
    <x v="1"/>
    <s v="No"/>
    <n v="0"/>
    <n v="1"/>
    <x v="4"/>
  </r>
  <r>
    <n v="3452"/>
    <x v="191"/>
    <x v="0"/>
    <d v="2024-10-04T00:00:00"/>
    <x v="0"/>
    <x v="0"/>
    <x v="2"/>
    <s v="Yes"/>
    <x v="0"/>
    <s v="Yes"/>
    <n v="20"/>
    <n v="7"/>
    <x v="12"/>
  </r>
  <r>
    <n v="3453"/>
    <x v="45"/>
    <x v="2"/>
    <d v="2024-10-05T00:00:00"/>
    <x v="1"/>
    <x v="2"/>
    <x v="0"/>
    <s v="No"/>
    <x v="1"/>
    <s v="Yes"/>
    <n v="20"/>
    <n v="10"/>
    <x v="2"/>
  </r>
  <r>
    <n v="3454"/>
    <x v="214"/>
    <x v="1"/>
    <d v="2024-10-06T00:00:00"/>
    <x v="0"/>
    <x v="1"/>
    <x v="1"/>
    <s v="No"/>
    <x v="1"/>
    <s v="No"/>
    <n v="0"/>
    <n v="0"/>
    <x v="1"/>
  </r>
  <r>
    <n v="3455"/>
    <x v="215"/>
    <x v="0"/>
    <d v="2024-10-07T00:00:00"/>
    <x v="1"/>
    <x v="0"/>
    <x v="0"/>
    <s v="Yes"/>
    <x v="0"/>
    <s v="Yes"/>
    <n v="20"/>
    <n v="20"/>
    <x v="8"/>
  </r>
  <r>
    <n v="3456"/>
    <x v="216"/>
    <x v="2"/>
    <d v="2024-10-08T00:00:00"/>
    <x v="0"/>
    <x v="2"/>
    <x v="2"/>
    <s v="No"/>
    <x v="1"/>
    <s v="Yes"/>
    <n v="20"/>
    <n v="15"/>
    <x v="7"/>
  </r>
  <r>
    <n v="3457"/>
    <x v="217"/>
    <x v="1"/>
    <d v="2024-10-09T00:00:00"/>
    <x v="1"/>
    <x v="1"/>
    <x v="0"/>
    <s v="No"/>
    <x v="1"/>
    <s v="No"/>
    <n v="0"/>
    <n v="1"/>
    <x v="4"/>
  </r>
  <r>
    <n v="3458"/>
    <x v="218"/>
    <x v="0"/>
    <d v="2024-10-10T00:00:00"/>
    <x v="0"/>
    <x v="0"/>
    <x v="1"/>
    <s v="Yes"/>
    <x v="0"/>
    <s v="Yes"/>
    <n v="20"/>
    <n v="3"/>
    <x v="3"/>
  </r>
  <r>
    <n v="3459"/>
    <x v="219"/>
    <x v="2"/>
    <d v="2024-10-11T00:00:00"/>
    <x v="1"/>
    <x v="2"/>
    <x v="0"/>
    <s v="No"/>
    <x v="1"/>
    <s v="Yes"/>
    <n v="20"/>
    <n v="10"/>
    <x v="2"/>
  </r>
  <r>
    <n v="3460"/>
    <x v="127"/>
    <x v="1"/>
    <d v="2024-10-12T00:00:00"/>
    <x v="0"/>
    <x v="1"/>
    <x v="2"/>
    <s v="No"/>
    <x v="1"/>
    <s v="No"/>
    <n v="0"/>
    <n v="0"/>
    <x v="1"/>
  </r>
  <r>
    <n v="3461"/>
    <x v="220"/>
    <x v="0"/>
    <d v="2024-10-13T00:00:00"/>
    <x v="1"/>
    <x v="0"/>
    <x v="0"/>
    <s v="Yes"/>
    <x v="0"/>
    <s v="Yes"/>
    <n v="20"/>
    <n v="15"/>
    <x v="14"/>
  </r>
  <r>
    <n v="3462"/>
    <x v="221"/>
    <x v="2"/>
    <d v="2024-10-14T00:00:00"/>
    <x v="0"/>
    <x v="2"/>
    <x v="1"/>
    <s v="No"/>
    <x v="1"/>
    <s v="Yes"/>
    <n v="20"/>
    <n v="15"/>
    <x v="7"/>
  </r>
  <r>
    <n v="3463"/>
    <x v="222"/>
    <x v="1"/>
    <d v="2024-10-15T00:00:00"/>
    <x v="1"/>
    <x v="1"/>
    <x v="0"/>
    <s v="No"/>
    <x v="1"/>
    <s v="No"/>
    <n v="0"/>
    <n v="1"/>
    <x v="4"/>
  </r>
  <r>
    <n v="3464"/>
    <x v="223"/>
    <x v="0"/>
    <d v="2024-10-16T00:00:00"/>
    <x v="0"/>
    <x v="0"/>
    <x v="2"/>
    <s v="Yes"/>
    <x v="0"/>
    <s v="Yes"/>
    <n v="20"/>
    <n v="7"/>
    <x v="12"/>
  </r>
  <r>
    <n v="3465"/>
    <x v="224"/>
    <x v="2"/>
    <d v="2024-10-17T00:00:00"/>
    <x v="1"/>
    <x v="2"/>
    <x v="0"/>
    <s v="No"/>
    <x v="1"/>
    <s v="Yes"/>
    <n v="20"/>
    <n v="10"/>
    <x v="2"/>
  </r>
  <r>
    <n v="3466"/>
    <x v="225"/>
    <x v="1"/>
    <d v="2024-10-18T00:00:00"/>
    <x v="0"/>
    <x v="1"/>
    <x v="1"/>
    <s v="No"/>
    <x v="1"/>
    <s v="No"/>
    <n v="0"/>
    <n v="0"/>
    <x v="1"/>
  </r>
  <r>
    <n v="3467"/>
    <x v="226"/>
    <x v="0"/>
    <d v="2024-10-19T00:00:00"/>
    <x v="1"/>
    <x v="0"/>
    <x v="0"/>
    <s v="Yes"/>
    <x v="0"/>
    <s v="Yes"/>
    <n v="20"/>
    <n v="15"/>
    <x v="14"/>
  </r>
  <r>
    <n v="3468"/>
    <x v="227"/>
    <x v="2"/>
    <d v="2024-10-20T00:00:00"/>
    <x v="0"/>
    <x v="2"/>
    <x v="2"/>
    <s v="No"/>
    <x v="1"/>
    <s v="Yes"/>
    <n v="20"/>
    <n v="12"/>
    <x v="10"/>
  </r>
  <r>
    <n v="3469"/>
    <x v="228"/>
    <x v="1"/>
    <d v="2024-10-21T00:00:00"/>
    <x v="1"/>
    <x v="1"/>
    <x v="0"/>
    <s v="No"/>
    <x v="1"/>
    <s v="No"/>
    <n v="0"/>
    <n v="2"/>
    <x v="11"/>
  </r>
  <r>
    <n v="3470"/>
    <x v="229"/>
    <x v="0"/>
    <d v="2024-10-22T00:00:00"/>
    <x v="0"/>
    <x v="0"/>
    <x v="1"/>
    <s v="Yes"/>
    <x v="0"/>
    <s v="Yes"/>
    <n v="20"/>
    <n v="5"/>
    <x v="0"/>
  </r>
  <r>
    <n v="3471"/>
    <x v="230"/>
    <x v="2"/>
    <d v="2024-10-23T00:00:00"/>
    <x v="1"/>
    <x v="2"/>
    <x v="0"/>
    <s v="No"/>
    <x v="1"/>
    <s v="Yes"/>
    <n v="20"/>
    <n v="10"/>
    <x v="2"/>
  </r>
  <r>
    <n v="3472"/>
    <x v="231"/>
    <x v="1"/>
    <d v="2024-10-24T00:00:00"/>
    <x v="0"/>
    <x v="1"/>
    <x v="2"/>
    <s v="No"/>
    <x v="1"/>
    <s v="No"/>
    <n v="0"/>
    <n v="0"/>
    <x v="1"/>
  </r>
  <r>
    <n v="3473"/>
    <x v="140"/>
    <x v="0"/>
    <d v="2024-10-25T00:00:00"/>
    <x v="1"/>
    <x v="0"/>
    <x v="0"/>
    <s v="Yes"/>
    <x v="0"/>
    <s v="Yes"/>
    <n v="20"/>
    <n v="3"/>
    <x v="3"/>
  </r>
  <r>
    <n v="3474"/>
    <x v="232"/>
    <x v="2"/>
    <d v="2024-10-26T00:00:00"/>
    <x v="0"/>
    <x v="2"/>
    <x v="1"/>
    <s v="No"/>
    <x v="1"/>
    <s v="Yes"/>
    <n v="20"/>
    <n v="15"/>
    <x v="7"/>
  </r>
  <r>
    <n v="3475"/>
    <x v="233"/>
    <x v="1"/>
    <d v="2024-10-27T00:00:00"/>
    <x v="1"/>
    <x v="1"/>
    <x v="0"/>
    <s v="No"/>
    <x v="1"/>
    <s v="No"/>
    <n v="0"/>
    <n v="1"/>
    <x v="4"/>
  </r>
  <r>
    <n v="3476"/>
    <x v="234"/>
    <x v="0"/>
    <d v="2024-10-28T00:00:00"/>
    <x v="0"/>
    <x v="0"/>
    <x v="2"/>
    <s v="Yes"/>
    <x v="0"/>
    <s v="Yes"/>
    <n v="20"/>
    <n v="7"/>
    <x v="12"/>
  </r>
  <r>
    <n v="3477"/>
    <x v="235"/>
    <x v="2"/>
    <d v="2024-10-29T00:00:00"/>
    <x v="1"/>
    <x v="2"/>
    <x v="0"/>
    <s v="No"/>
    <x v="1"/>
    <s v="Yes"/>
    <n v="20"/>
    <n v="10"/>
    <x v="2"/>
  </r>
  <r>
    <n v="3478"/>
    <x v="236"/>
    <x v="1"/>
    <d v="2024-10-30T00:00:00"/>
    <x v="0"/>
    <x v="1"/>
    <x v="1"/>
    <s v="No"/>
    <x v="1"/>
    <s v="No"/>
    <n v="0"/>
    <n v="0"/>
    <x v="1"/>
  </r>
  <r>
    <n v="3479"/>
    <x v="237"/>
    <x v="0"/>
    <d v="2024-10-31T00:00:00"/>
    <x v="1"/>
    <x v="0"/>
    <x v="0"/>
    <s v="Yes"/>
    <x v="0"/>
    <s v="Yes"/>
    <n v="20"/>
    <n v="20"/>
    <x v="8"/>
  </r>
  <r>
    <n v="3480"/>
    <x v="238"/>
    <x v="2"/>
    <d v="2024-11-01T00:00:00"/>
    <x v="0"/>
    <x v="2"/>
    <x v="2"/>
    <s v="No"/>
    <x v="1"/>
    <s v="Yes"/>
    <n v="20"/>
    <n v="15"/>
    <x v="7"/>
  </r>
  <r>
    <n v="3481"/>
    <x v="239"/>
    <x v="1"/>
    <d v="2024-11-02T00:00:00"/>
    <x v="1"/>
    <x v="1"/>
    <x v="0"/>
    <s v="No"/>
    <x v="1"/>
    <s v="No"/>
    <n v="0"/>
    <n v="1"/>
    <x v="4"/>
  </r>
  <r>
    <n v="3482"/>
    <x v="240"/>
    <x v="0"/>
    <d v="2024-11-03T00:00:00"/>
    <x v="0"/>
    <x v="0"/>
    <x v="1"/>
    <s v="Yes"/>
    <x v="0"/>
    <s v="Yes"/>
    <n v="20"/>
    <n v="3"/>
    <x v="3"/>
  </r>
  <r>
    <n v="3483"/>
    <x v="241"/>
    <x v="2"/>
    <d v="2024-11-04T00:00:00"/>
    <x v="1"/>
    <x v="2"/>
    <x v="0"/>
    <s v="No"/>
    <x v="1"/>
    <s v="Yes"/>
    <n v="20"/>
    <n v="10"/>
    <x v="2"/>
  </r>
  <r>
    <n v="3484"/>
    <x v="242"/>
    <x v="1"/>
    <d v="2024-11-05T00:00:00"/>
    <x v="0"/>
    <x v="1"/>
    <x v="2"/>
    <s v="No"/>
    <x v="1"/>
    <s v="No"/>
    <n v="0"/>
    <n v="0"/>
    <x v="1"/>
  </r>
  <r>
    <n v="3485"/>
    <x v="243"/>
    <x v="0"/>
    <d v="2024-11-06T00:00:00"/>
    <x v="1"/>
    <x v="0"/>
    <x v="0"/>
    <s v="Yes"/>
    <x v="0"/>
    <s v="Yes"/>
    <n v="20"/>
    <n v="15"/>
    <x v="14"/>
  </r>
  <r>
    <n v="3486"/>
    <x v="244"/>
    <x v="1"/>
    <d v="2024-11-07T00:00:00"/>
    <x v="0"/>
    <x v="1"/>
    <x v="0"/>
    <s v="No"/>
    <x v="1"/>
    <s v="No"/>
    <n v="0"/>
    <n v="0"/>
    <x v="1"/>
  </r>
  <r>
    <n v="3487"/>
    <x v="245"/>
    <x v="0"/>
    <d v="2024-11-08T00:00:00"/>
    <x v="1"/>
    <x v="0"/>
    <x v="2"/>
    <s v="Yes"/>
    <x v="0"/>
    <s v="Yes"/>
    <n v="20"/>
    <n v="7"/>
    <x v="12"/>
  </r>
  <r>
    <n v="3488"/>
    <x v="246"/>
    <x v="2"/>
    <d v="2024-11-09T00:00:00"/>
    <x v="0"/>
    <x v="2"/>
    <x v="1"/>
    <s v="No"/>
    <x v="1"/>
    <s v="Yes"/>
    <n v="20"/>
    <n v="10"/>
    <x v="2"/>
  </r>
  <r>
    <n v="3489"/>
    <x v="247"/>
    <x v="1"/>
    <d v="2024-11-10T00:00:00"/>
    <x v="1"/>
    <x v="1"/>
    <x v="2"/>
    <s v="No"/>
    <x v="1"/>
    <s v="No"/>
    <n v="0"/>
    <n v="1"/>
    <x v="4"/>
  </r>
  <r>
    <n v="3490"/>
    <x v="248"/>
    <x v="0"/>
    <d v="2024-11-11T00:00:00"/>
    <x v="0"/>
    <x v="0"/>
    <x v="0"/>
    <s v="Yes"/>
    <x v="0"/>
    <s v="Yes"/>
    <n v="20"/>
    <n v="15"/>
    <x v="14"/>
  </r>
  <r>
    <n v="3491"/>
    <x v="249"/>
    <x v="2"/>
    <d v="2024-11-12T00:00:00"/>
    <x v="1"/>
    <x v="2"/>
    <x v="0"/>
    <s v="No"/>
    <x v="1"/>
    <s v="Yes"/>
    <n v="20"/>
    <n v="5"/>
    <x v="13"/>
  </r>
  <r>
    <n v="3492"/>
    <x v="250"/>
    <x v="1"/>
    <d v="2024-11-13T00:00:00"/>
    <x v="0"/>
    <x v="1"/>
    <x v="1"/>
    <s v="No"/>
    <x v="1"/>
    <s v="No"/>
    <n v="0"/>
    <n v="0"/>
    <x v="1"/>
  </r>
  <r>
    <n v="3493"/>
    <x v="251"/>
    <x v="0"/>
    <d v="2024-11-14T00:00:00"/>
    <x v="1"/>
    <x v="0"/>
    <x v="2"/>
    <s v="Yes"/>
    <x v="0"/>
    <s v="Yes"/>
    <n v="20"/>
    <n v="20"/>
    <x v="8"/>
  </r>
  <r>
    <n v="3494"/>
    <x v="252"/>
    <x v="2"/>
    <d v="2024-11-15T00:00:00"/>
    <x v="0"/>
    <x v="2"/>
    <x v="2"/>
    <s v="No"/>
    <x v="1"/>
    <s v="Yes"/>
    <n v="20"/>
    <n v="12"/>
    <x v="10"/>
  </r>
  <r>
    <n v="3495"/>
    <x v="253"/>
    <x v="1"/>
    <d v="2024-11-16T00:00:00"/>
    <x v="1"/>
    <x v="1"/>
    <x v="0"/>
    <s v="No"/>
    <x v="1"/>
    <s v="No"/>
    <n v="0"/>
    <n v="2"/>
    <x v="11"/>
  </r>
  <r>
    <n v="3496"/>
    <x v="254"/>
    <x v="0"/>
    <d v="2024-11-17T00:00:00"/>
    <x v="0"/>
    <x v="0"/>
    <x v="1"/>
    <s v="Yes"/>
    <x v="0"/>
    <s v="Yes"/>
    <n v="20"/>
    <n v="5"/>
    <x v="0"/>
  </r>
  <r>
    <n v="3497"/>
    <x v="255"/>
    <x v="2"/>
    <d v="2024-11-18T00:00:00"/>
    <x v="1"/>
    <x v="2"/>
    <x v="0"/>
    <s v="No"/>
    <x v="1"/>
    <s v="Yes"/>
    <n v="20"/>
    <n v="10"/>
    <x v="2"/>
  </r>
  <r>
    <n v="3498"/>
    <x v="256"/>
    <x v="1"/>
    <d v="2024-11-19T00:00:00"/>
    <x v="0"/>
    <x v="1"/>
    <x v="2"/>
    <s v="No"/>
    <x v="1"/>
    <s v="No"/>
    <n v="0"/>
    <n v="0"/>
    <x v="1"/>
  </r>
  <r>
    <n v="3499"/>
    <x v="257"/>
    <x v="0"/>
    <d v="2024-11-20T00:00:00"/>
    <x v="1"/>
    <x v="0"/>
    <x v="0"/>
    <s v="Yes"/>
    <x v="0"/>
    <s v="Yes"/>
    <n v="20"/>
    <n v="3"/>
    <x v="3"/>
  </r>
  <r>
    <n v="3500"/>
    <x v="258"/>
    <x v="2"/>
    <d v="2024-11-21T00:00:00"/>
    <x v="0"/>
    <x v="2"/>
    <x v="1"/>
    <s v="No"/>
    <x v="1"/>
    <s v="Yes"/>
    <n v="20"/>
    <n v="15"/>
    <x v="7"/>
  </r>
  <r>
    <n v="3501"/>
    <x v="259"/>
    <x v="1"/>
    <d v="2024-11-22T00:00:00"/>
    <x v="1"/>
    <x v="1"/>
    <x v="0"/>
    <s v="No"/>
    <x v="1"/>
    <s v="No"/>
    <n v="0"/>
    <n v="1"/>
    <x v="4"/>
  </r>
  <r>
    <n v="3502"/>
    <x v="260"/>
    <x v="0"/>
    <d v="2024-11-23T00:00:00"/>
    <x v="0"/>
    <x v="0"/>
    <x v="2"/>
    <s v="Yes"/>
    <x v="0"/>
    <s v="Yes"/>
    <n v="20"/>
    <n v="7"/>
    <x v="12"/>
  </r>
  <r>
    <n v="3503"/>
    <x v="119"/>
    <x v="2"/>
    <d v="2024-11-24T00:00:00"/>
    <x v="1"/>
    <x v="2"/>
    <x v="0"/>
    <s v="No"/>
    <x v="1"/>
    <s v="Yes"/>
    <n v="20"/>
    <n v="10"/>
    <x v="2"/>
  </r>
  <r>
    <n v="3504"/>
    <x v="261"/>
    <x v="1"/>
    <d v="2024-11-25T00:00:00"/>
    <x v="0"/>
    <x v="1"/>
    <x v="1"/>
    <s v="No"/>
    <x v="1"/>
    <s v="No"/>
    <n v="0"/>
    <n v="0"/>
    <x v="1"/>
  </r>
  <r>
    <n v="3505"/>
    <x v="262"/>
    <x v="0"/>
    <d v="2024-11-26T00:00:00"/>
    <x v="1"/>
    <x v="0"/>
    <x v="0"/>
    <s v="Yes"/>
    <x v="0"/>
    <s v="Yes"/>
    <n v="20"/>
    <n v="20"/>
    <x v="8"/>
  </r>
  <r>
    <n v="3506"/>
    <x v="263"/>
    <x v="2"/>
    <d v="2024-11-27T00:00:00"/>
    <x v="0"/>
    <x v="2"/>
    <x v="2"/>
    <s v="No"/>
    <x v="1"/>
    <s v="Yes"/>
    <n v="20"/>
    <n v="15"/>
    <x v="7"/>
  </r>
  <r>
    <n v="3507"/>
    <x v="264"/>
    <x v="1"/>
    <d v="2024-11-28T00:00:00"/>
    <x v="1"/>
    <x v="1"/>
    <x v="0"/>
    <s v="No"/>
    <x v="1"/>
    <s v="No"/>
    <n v="0"/>
    <n v="1"/>
    <x v="4"/>
  </r>
  <r>
    <n v="3508"/>
    <x v="265"/>
    <x v="0"/>
    <d v="2024-11-29T00:00:00"/>
    <x v="0"/>
    <x v="0"/>
    <x v="1"/>
    <s v="Yes"/>
    <x v="0"/>
    <s v="Yes"/>
    <n v="20"/>
    <n v="3"/>
    <x v="3"/>
  </r>
  <r>
    <n v="3509"/>
    <x v="266"/>
    <x v="2"/>
    <d v="2024-11-30T00:00:00"/>
    <x v="1"/>
    <x v="2"/>
    <x v="0"/>
    <s v="No"/>
    <x v="1"/>
    <s v="Yes"/>
    <n v="20"/>
    <n v="10"/>
    <x v="2"/>
  </r>
  <r>
    <n v="3510"/>
    <x v="267"/>
    <x v="1"/>
    <d v="2024-12-01T00:00:00"/>
    <x v="0"/>
    <x v="1"/>
    <x v="2"/>
    <s v="No"/>
    <x v="1"/>
    <s v="No"/>
    <n v="0"/>
    <n v="0"/>
    <x v="1"/>
  </r>
  <r>
    <n v="3511"/>
    <x v="268"/>
    <x v="0"/>
    <d v="2024-12-02T00:00:00"/>
    <x v="1"/>
    <x v="0"/>
    <x v="0"/>
    <s v="Yes"/>
    <x v="0"/>
    <s v="Yes"/>
    <n v="20"/>
    <n v="15"/>
    <x v="14"/>
  </r>
  <r>
    <n v="3512"/>
    <x v="269"/>
    <x v="2"/>
    <d v="2024-12-03T00:00:00"/>
    <x v="0"/>
    <x v="2"/>
    <x v="1"/>
    <s v="No"/>
    <x v="1"/>
    <s v="Yes"/>
    <n v="20"/>
    <n v="15"/>
    <x v="7"/>
  </r>
  <r>
    <n v="3513"/>
    <x v="270"/>
    <x v="1"/>
    <d v="2024-12-04T00:00:00"/>
    <x v="1"/>
    <x v="1"/>
    <x v="0"/>
    <s v="No"/>
    <x v="1"/>
    <s v="No"/>
    <n v="0"/>
    <n v="1"/>
    <x v="4"/>
  </r>
  <r>
    <n v="3514"/>
    <x v="271"/>
    <x v="0"/>
    <d v="2024-12-05T00:00:00"/>
    <x v="0"/>
    <x v="0"/>
    <x v="2"/>
    <s v="Yes"/>
    <x v="0"/>
    <s v="Yes"/>
    <n v="20"/>
    <n v="7"/>
    <x v="12"/>
  </r>
  <r>
    <n v="3515"/>
    <x v="130"/>
    <x v="2"/>
    <d v="2024-12-06T00:00:00"/>
    <x v="1"/>
    <x v="2"/>
    <x v="0"/>
    <s v="No"/>
    <x v="1"/>
    <s v="Yes"/>
    <n v="20"/>
    <n v="10"/>
    <x v="2"/>
  </r>
  <r>
    <n v="3516"/>
    <x v="131"/>
    <x v="1"/>
    <d v="2024-12-07T00:00:00"/>
    <x v="0"/>
    <x v="1"/>
    <x v="1"/>
    <s v="No"/>
    <x v="1"/>
    <s v="No"/>
    <n v="0"/>
    <n v="0"/>
    <x v="1"/>
  </r>
  <r>
    <n v="3517"/>
    <x v="181"/>
    <x v="0"/>
    <d v="2024-12-08T00:00:00"/>
    <x v="1"/>
    <x v="0"/>
    <x v="0"/>
    <s v="Yes"/>
    <x v="0"/>
    <s v="Yes"/>
    <n v="20"/>
    <n v="20"/>
    <x v="8"/>
  </r>
  <r>
    <n v="3518"/>
    <x v="272"/>
    <x v="2"/>
    <d v="2024-12-09T00:00:00"/>
    <x v="0"/>
    <x v="2"/>
    <x v="2"/>
    <s v="No"/>
    <x v="1"/>
    <s v="Yes"/>
    <n v="20"/>
    <n v="12"/>
    <x v="10"/>
  </r>
  <r>
    <n v="3519"/>
    <x v="273"/>
    <x v="1"/>
    <d v="2024-12-10T00:00:00"/>
    <x v="1"/>
    <x v="1"/>
    <x v="0"/>
    <s v="No"/>
    <x v="1"/>
    <s v="No"/>
    <n v="0"/>
    <n v="2"/>
    <x v="11"/>
  </r>
  <r>
    <n v="3520"/>
    <x v="274"/>
    <x v="0"/>
    <d v="2024-12-11T00:00:00"/>
    <x v="0"/>
    <x v="0"/>
    <x v="1"/>
    <s v="Yes"/>
    <x v="0"/>
    <s v="Yes"/>
    <n v="20"/>
    <n v="5"/>
    <x v="0"/>
  </r>
  <r>
    <n v="3521"/>
    <x v="275"/>
    <x v="2"/>
    <d v="2024-12-12T00:00:00"/>
    <x v="1"/>
    <x v="2"/>
    <x v="0"/>
    <s v="No"/>
    <x v="1"/>
    <s v="Yes"/>
    <n v="20"/>
    <n v="10"/>
    <x v="2"/>
  </r>
  <r>
    <n v="3522"/>
    <x v="276"/>
    <x v="1"/>
    <d v="2024-12-13T00:00:00"/>
    <x v="0"/>
    <x v="1"/>
    <x v="2"/>
    <s v="No"/>
    <x v="1"/>
    <s v="No"/>
    <n v="0"/>
    <n v="0"/>
    <x v="1"/>
  </r>
  <r>
    <n v="3523"/>
    <x v="277"/>
    <x v="0"/>
    <d v="2024-12-14T00:00:00"/>
    <x v="1"/>
    <x v="0"/>
    <x v="0"/>
    <s v="Yes"/>
    <x v="0"/>
    <s v="Yes"/>
    <n v="20"/>
    <n v="3"/>
    <x v="3"/>
  </r>
  <r>
    <n v="3524"/>
    <x v="278"/>
    <x v="2"/>
    <d v="2024-12-15T00:00:00"/>
    <x v="0"/>
    <x v="2"/>
    <x v="1"/>
    <s v="No"/>
    <x v="1"/>
    <s v="Yes"/>
    <n v="20"/>
    <n v="15"/>
    <x v="7"/>
  </r>
  <r>
    <n v="3525"/>
    <x v="279"/>
    <x v="1"/>
    <d v="2024-12-16T00:00:00"/>
    <x v="1"/>
    <x v="1"/>
    <x v="0"/>
    <s v="No"/>
    <x v="1"/>
    <s v="No"/>
    <n v="0"/>
    <n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677D10-0D71-4246-88D9-3FB657F7327C}" name="Tabela dinâmica12" cacheId="19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38:F43" firstHeaderRow="1" firstDataRow="2" firstDataCol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ontagem de Total Value" fld="12" subtotal="count" baseField="6" baseItem="0"/>
  </dataFields>
  <chartFormats count="3"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0353E0-02F4-4B2C-A79C-B5F5EFBE9AA6}" name="Tabela dinâmica11" cacheId="19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27:C3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h="1"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formats count="2">
    <format dxfId="114">
      <pivotArea grandRow="1" outline="0" collapsedLevelsAreSubtotals="1" fieldPosition="0"/>
    </format>
    <format dxfId="11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3ED4D4-1DE2-4CF3-8A57-CC7C40F1BB25}" name="Tabela dinâmica10" cacheId="19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17:C2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h="1"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formats count="2">
    <format dxfId="116">
      <pivotArea grandRow="1" outline="0" collapsedLevelsAreSubtotals="1" fieldPosition="0"/>
    </format>
    <format dxfId="11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1E7F4A-C0AD-4FAA-B841-C4AF82EEEAFE}" name="Tabela dinâmica8" cacheId="19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7:C10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x="1"/>
        <item x="2"/>
        <item x="0"/>
        <item t="default"/>
      </items>
    </pivotField>
    <pivotField numFmtId="14" showAll="0"/>
    <pivotField axis="axisRow"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h="1" x="1"/>
        <item x="0"/>
        <item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4" baseItem="0"/>
  </dataFields>
  <formats count="2">
    <format dxfId="118">
      <pivotArea collapsedLevelsAreSubtotals="1" fieldPosition="0">
        <references count="1">
          <reference field="4" count="0"/>
        </references>
      </pivotArea>
    </format>
    <format dxfId="119">
      <pivotArea grandRow="1"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BBAD32EC-F3F2-493A-A02C-60FBBD0CEC72}" sourceName="Subscription Type">
  <pivotTables>
    <pivotTable tabId="5" name="Tabela dinâmica8"/>
    <pivotTable tabId="5" name="Tabela dinâmica10"/>
    <pivotTable tabId="5" name="Tabela dinâmica11"/>
  </pivotTables>
  <data>
    <tabular pivotCacheId="1157238376">
      <items count="3">
        <i x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CAF3FE7A-0A0A-4EA4-9FCC-EDAE79748698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5">
  <autoFilter ref="A1:M296" xr:uid="{34E0E886-4200-4B36-97B3-63DB74FF40A0}">
    <filterColumn colId="2">
      <filters>
        <filter val="Ultimate"/>
      </filters>
    </filterColumn>
  </autoFilter>
  <tableColumns count="13">
    <tableColumn id="1" xr3:uid="{C4A90516-688A-46BF-9167-EA16C2A8A652}" name="Subscriber ID" dataDxfId="134"/>
    <tableColumn id="2" xr3:uid="{53DD39D0-2220-4121-9E9D-4EAA7E151C0F}" name="Name" dataDxfId="133"/>
    <tableColumn id="3" xr3:uid="{4F5FF271-4C57-4BE0-8F2C-F82C8551625C}" name="Plan" dataDxfId="132"/>
    <tableColumn id="4" xr3:uid="{8C17EB93-79B9-4E55-B8F7-BEB82F8253E9}" name="Start Date" dataDxfId="131"/>
    <tableColumn id="5" xr3:uid="{48CEDF9B-1689-482A-A828-5CCE7713264A}" name="Auto Renewal" dataDxfId="130"/>
    <tableColumn id="6" xr3:uid="{78B82374-9AA7-4E38-AE4F-78CDE6C83720}" name="Subscription Price" dataDxfId="129" dataCellStyle="Moeda"/>
    <tableColumn id="7" xr3:uid="{F2433F68-AF33-49D0-B1FB-19A396074EDE}" name="Subscription Type" dataDxfId="128"/>
    <tableColumn id="8" xr3:uid="{FD4D9C95-F6E5-4933-9068-A71FF7DF9343}" name="EA Play Season Pass" dataDxfId="122"/>
    <tableColumn id="13" xr3:uid="{978DD0D2-834E-4CE4-A39B-30976086932F}" name="EA Play Season Pass_x000a_Price" dataDxfId="120" dataCellStyle="Moeda"/>
    <tableColumn id="9" xr3:uid="{6E29F111-C395-4580-9DAD-3407D9E8B1A4}" name="Minecraft Season Pass" dataDxfId="121"/>
    <tableColumn id="10" xr3:uid="{EF544EAA-7F25-4FD5-A10E-8E62804DB9E3}" name="Minecraft Season Pass Price" dataDxfId="127" dataCellStyle="Moeda"/>
    <tableColumn id="11" xr3:uid="{7F6EB64A-1F07-4E48-9F0F-AC7D9DCD26F8}" name="Coupon Value" dataDxfId="126" dataCellStyle="Moeda"/>
    <tableColumn id="12" xr3:uid="{2B04ABC8-DE6F-426E-ADC0-D8AFC68CA58E}" name="Total Value" dataDxfId="125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3" zoomScaleNormal="100" workbookViewId="0">
      <selection activeCell="B7" sqref="B7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sheetProtection sheet="1" objects="1" scenarios="1" selectLockedCells="1" selectUnlockedCells="1"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35" zoomScale="90" zoomScaleNormal="90" workbookViewId="0">
      <selection activeCell="C2" sqref="C2:C294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7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7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7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7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7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7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7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7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7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7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7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7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7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7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7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7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7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7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7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7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7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7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7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7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7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7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7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7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7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7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7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7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7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7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7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7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7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7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7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7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7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7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7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7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7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7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7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7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7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7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7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7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7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7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7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7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7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7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7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7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7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7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7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7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7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7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7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7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7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7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7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7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7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7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7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7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7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7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7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7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7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7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7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7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7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7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7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7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7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7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7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7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7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7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7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7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7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7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7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7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7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7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7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7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7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7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7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7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7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7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7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7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7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7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7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7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7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7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7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7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7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7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7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7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7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7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7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7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7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7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7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7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7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7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7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7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7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7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7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7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7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7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7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7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7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7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7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7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7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7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7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7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7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7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7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7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7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7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7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7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7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7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7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7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7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7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7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7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7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7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7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7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7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7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7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7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7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7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7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7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7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7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7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7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7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7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7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7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7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7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7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7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7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7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7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7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7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7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7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7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7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7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7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7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7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7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7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7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7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7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7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7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7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7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7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7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7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7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7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7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7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7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7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7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7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7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7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7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7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7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7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7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7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7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7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7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7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7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7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7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7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7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7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7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7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7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7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7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7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7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7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7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7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7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7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7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7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7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7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7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7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7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7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7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7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7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7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7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7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7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7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7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7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7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7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7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7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7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7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7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7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7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7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7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7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7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7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7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7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7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7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7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7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7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7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sheetProtection sheet="1" objects="1" scenarios="1" selectLockedCells="1" selectUnlockedCells="1"/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938B4-37A8-4589-B38F-56CC6CF67CA5}">
  <sheetPr>
    <tabColor theme="3" tint="0.749992370372631"/>
  </sheetPr>
  <dimension ref="B3:F43"/>
  <sheetViews>
    <sheetView workbookViewId="0">
      <selection activeCell="G58" sqref="G58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8.28515625" bestFit="1" customWidth="1"/>
    <col min="5" max="5" width="9.42578125" bestFit="1" customWidth="1"/>
    <col min="6" max="6" width="10.7109375" bestFit="1" customWidth="1"/>
    <col min="7" max="7" width="10.85546875" bestFit="1" customWidth="1"/>
    <col min="8" max="8" width="8.28515625" bestFit="1" customWidth="1"/>
    <col min="9" max="9" width="9.42578125" bestFit="1" customWidth="1"/>
    <col min="10" max="10" width="14" bestFit="1" customWidth="1"/>
    <col min="11" max="11" width="10.5703125" bestFit="1" customWidth="1"/>
    <col min="12" max="12" width="8.28515625" bestFit="1" customWidth="1"/>
    <col min="13" max="13" width="9.42578125" bestFit="1" customWidth="1"/>
    <col min="14" max="14" width="13.7109375" bestFit="1" customWidth="1"/>
    <col min="15" max="15" width="10.7109375" bestFit="1" customWidth="1"/>
  </cols>
  <sheetData>
    <row r="3" spans="2:3" x14ac:dyDescent="0.25">
      <c r="B3" t="s">
        <v>313</v>
      </c>
    </row>
    <row r="4" spans="2:3" x14ac:dyDescent="0.25">
      <c r="B4" t="s">
        <v>316</v>
      </c>
    </row>
    <row r="5" spans="2:3" x14ac:dyDescent="0.25">
      <c r="B5" s="12" t="s">
        <v>16</v>
      </c>
      <c r="C5" t="s">
        <v>324</v>
      </c>
    </row>
    <row r="7" spans="2:3" x14ac:dyDescent="0.25">
      <c r="B7" s="12" t="s">
        <v>314</v>
      </c>
      <c r="C7" t="s">
        <v>318</v>
      </c>
    </row>
    <row r="8" spans="2:3" x14ac:dyDescent="0.25">
      <c r="B8" s="13" t="s">
        <v>23</v>
      </c>
      <c r="C8" s="15">
        <v>1440</v>
      </c>
    </row>
    <row r="9" spans="2:3" x14ac:dyDescent="0.25">
      <c r="B9" s="13" t="s">
        <v>19</v>
      </c>
      <c r="C9" s="15">
        <v>900</v>
      </c>
    </row>
    <row r="10" spans="2:3" x14ac:dyDescent="0.25">
      <c r="B10" s="13" t="s">
        <v>315</v>
      </c>
      <c r="C10" s="15">
        <v>2340</v>
      </c>
    </row>
    <row r="13" spans="2:3" x14ac:dyDescent="0.25">
      <c r="B13" s="13" t="s">
        <v>317</v>
      </c>
    </row>
    <row r="15" spans="2:3" x14ac:dyDescent="0.25">
      <c r="B15" s="12" t="s">
        <v>16</v>
      </c>
      <c r="C15" t="s">
        <v>324</v>
      </c>
    </row>
    <row r="17" spans="2:3" x14ac:dyDescent="0.25">
      <c r="B17" s="12" t="s">
        <v>314</v>
      </c>
      <c r="C17" t="s">
        <v>318</v>
      </c>
    </row>
    <row r="18" spans="2:3" x14ac:dyDescent="0.25">
      <c r="B18" s="13" t="s">
        <v>22</v>
      </c>
      <c r="C18" s="14">
        <v>0</v>
      </c>
    </row>
    <row r="19" spans="2:3" x14ac:dyDescent="0.25">
      <c r="B19" s="13" t="s">
        <v>26</v>
      </c>
      <c r="C19" s="14">
        <v>0</v>
      </c>
    </row>
    <row r="20" spans="2:3" x14ac:dyDescent="0.25">
      <c r="B20" s="13" t="s">
        <v>18</v>
      </c>
      <c r="C20" s="14">
        <v>2340</v>
      </c>
    </row>
    <row r="21" spans="2:3" x14ac:dyDescent="0.25">
      <c r="B21" s="13" t="s">
        <v>315</v>
      </c>
      <c r="C21" s="14">
        <v>2340</v>
      </c>
    </row>
    <row r="23" spans="2:3" x14ac:dyDescent="0.25">
      <c r="B23" s="15">
        <f>GETPIVOTDATA("EA Play Season Pass
Price",$B$17)</f>
        <v>2340</v>
      </c>
    </row>
    <row r="25" spans="2:3" x14ac:dyDescent="0.25">
      <c r="B25" s="12" t="s">
        <v>16</v>
      </c>
      <c r="C25" t="s">
        <v>324</v>
      </c>
    </row>
    <row r="27" spans="2:3" x14ac:dyDescent="0.25">
      <c r="B27" s="12" t="s">
        <v>314</v>
      </c>
      <c r="C27" t="s">
        <v>319</v>
      </c>
    </row>
    <row r="28" spans="2:3" x14ac:dyDescent="0.25">
      <c r="B28" s="13" t="s">
        <v>22</v>
      </c>
      <c r="C28" s="14">
        <v>0</v>
      </c>
    </row>
    <row r="29" spans="2:3" x14ac:dyDescent="0.25">
      <c r="B29" s="13" t="s">
        <v>26</v>
      </c>
      <c r="C29" s="14">
        <v>1380</v>
      </c>
    </row>
    <row r="30" spans="2:3" x14ac:dyDescent="0.25">
      <c r="B30" s="13" t="s">
        <v>18</v>
      </c>
      <c r="C30" s="14">
        <v>1560</v>
      </c>
    </row>
    <row r="31" spans="2:3" x14ac:dyDescent="0.25">
      <c r="B31" s="13" t="s">
        <v>315</v>
      </c>
      <c r="C31" s="14">
        <v>2940</v>
      </c>
    </row>
    <row r="33" spans="2:6" x14ac:dyDescent="0.25">
      <c r="B33" s="15">
        <f>GETPIVOTDATA("Minecraft Season Pass Price",$B$27)</f>
        <v>2940</v>
      </c>
    </row>
    <row r="35" spans="2:6" x14ac:dyDescent="0.25">
      <c r="B35" t="s">
        <v>321</v>
      </c>
    </row>
    <row r="38" spans="2:6" x14ac:dyDescent="0.25">
      <c r="B38" s="12" t="s">
        <v>323</v>
      </c>
      <c r="C38" s="12" t="s">
        <v>322</v>
      </c>
    </row>
    <row r="39" spans="2:6" x14ac:dyDescent="0.25">
      <c r="B39" s="12" t="s">
        <v>314</v>
      </c>
      <c r="C39" t="s">
        <v>24</v>
      </c>
      <c r="D39" t="s">
        <v>20</v>
      </c>
      <c r="E39" t="s">
        <v>27</v>
      </c>
      <c r="F39" t="s">
        <v>315</v>
      </c>
    </row>
    <row r="40" spans="2:6" x14ac:dyDescent="0.25">
      <c r="B40" s="13" t="s">
        <v>22</v>
      </c>
      <c r="C40" s="14">
        <v>24</v>
      </c>
      <c r="D40" s="14">
        <v>49</v>
      </c>
      <c r="E40" s="14">
        <v>28</v>
      </c>
      <c r="F40" s="14">
        <v>101</v>
      </c>
    </row>
    <row r="41" spans="2:6" x14ac:dyDescent="0.25">
      <c r="B41" s="13" t="s">
        <v>26</v>
      </c>
      <c r="C41" s="14">
        <v>27</v>
      </c>
      <c r="D41" s="14">
        <v>45</v>
      </c>
      <c r="E41" s="14">
        <v>24</v>
      </c>
      <c r="F41" s="14">
        <v>96</v>
      </c>
    </row>
    <row r="42" spans="2:6" x14ac:dyDescent="0.25">
      <c r="B42" s="13" t="s">
        <v>18</v>
      </c>
      <c r="C42" s="14">
        <v>20</v>
      </c>
      <c r="D42" s="14">
        <v>45</v>
      </c>
      <c r="E42" s="14">
        <v>33</v>
      </c>
      <c r="F42" s="14">
        <v>98</v>
      </c>
    </row>
    <row r="43" spans="2:6" x14ac:dyDescent="0.25">
      <c r="B43" s="13" t="s">
        <v>315</v>
      </c>
      <c r="C43" s="14">
        <v>71</v>
      </c>
      <c r="D43" s="14">
        <v>139</v>
      </c>
      <c r="E43" s="14">
        <v>85</v>
      </c>
      <c r="F43" s="14">
        <v>295</v>
      </c>
    </row>
  </sheetData>
  <sheetProtection selectLockedCells="1" selectUnlockedCells="1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AB106"/>
  <sheetViews>
    <sheetView showGridLines="0" showRowColHeaders="0" tabSelected="1" zoomScale="98" zoomScaleNormal="98" workbookViewId="0">
      <selection activeCell="L6" sqref="L6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5.85546875" defaultRowHeight="15" x14ac:dyDescent="0.25"/>
  <cols>
    <col min="1" max="1" width="32.85546875" style="4" customWidth="1"/>
    <col min="2" max="2" width="7.5703125" customWidth="1"/>
  </cols>
  <sheetData>
    <row r="1" spans="1:28" s="16" customFormat="1" x14ac:dyDescent="0.25">
      <c r="A1" s="4"/>
    </row>
    <row r="2" spans="1:28" ht="24.75" thickBot="1" x14ac:dyDescent="0.5">
      <c r="C2" s="19" t="s">
        <v>325</v>
      </c>
      <c r="D2" s="20"/>
      <c r="E2" s="20"/>
      <c r="F2" s="20"/>
      <c r="G2" s="20"/>
      <c r="H2" s="20"/>
      <c r="I2" s="20"/>
      <c r="J2" s="20"/>
      <c r="K2" s="20"/>
      <c r="L2" s="21"/>
      <c r="M2" s="21"/>
      <c r="N2" s="21"/>
      <c r="O2" s="21"/>
      <c r="P2" s="22"/>
      <c r="Q2" s="22"/>
      <c r="R2" s="22"/>
      <c r="S2" s="22"/>
      <c r="T2" s="22"/>
      <c r="U2" s="22"/>
      <c r="V2" s="22"/>
      <c r="W2" s="22"/>
    </row>
    <row r="3" spans="1:28" s="16" customFormat="1" ht="15.75" thickTop="1" x14ac:dyDescent="0.25">
      <c r="A3" s="4"/>
    </row>
    <row r="4" spans="1:28" s="7" customFormat="1" x14ac:dyDescent="0.25">
      <c r="A4" s="4"/>
      <c r="C4" s="23" t="s">
        <v>320</v>
      </c>
    </row>
    <row r="5" spans="1:28" s="7" customFormat="1" x14ac:dyDescent="0.25">
      <c r="A5" s="4"/>
    </row>
    <row r="6" spans="1:28" s="7" customFormat="1" x14ac:dyDescent="0.25">
      <c r="A6" s="4"/>
    </row>
    <row r="7" spans="1:28" s="7" customFormat="1" x14ac:dyDescent="0.25">
      <c r="A7" s="4"/>
    </row>
    <row r="8" spans="1:28" s="7" customFormat="1" x14ac:dyDescent="0.25">
      <c r="A8" s="4"/>
    </row>
    <row r="9" spans="1:28" s="7" customFormat="1" x14ac:dyDescent="0.25">
      <c r="A9" s="4"/>
    </row>
    <row r="10" spans="1:28" s="7" customFormat="1" x14ac:dyDescent="0.25">
      <c r="A10" s="4"/>
    </row>
    <row r="11" spans="1:28" s="7" customFormat="1" x14ac:dyDescent="0.25">
      <c r="A11" s="4"/>
    </row>
    <row r="12" spans="1:28" s="7" customFormat="1" x14ac:dyDescent="0.25">
      <c r="A12" s="4"/>
    </row>
    <row r="13" spans="1:28" s="7" customFormat="1" x14ac:dyDescent="0.25">
      <c r="A13" s="4"/>
    </row>
    <row r="14" spans="1:28" s="7" customFormat="1" x14ac:dyDescent="0.25">
      <c r="A14" s="4"/>
      <c r="AB14" s="18"/>
    </row>
    <row r="15" spans="1:28" s="7" customFormat="1" x14ac:dyDescent="0.25">
      <c r="A15" s="4"/>
    </row>
    <row r="16" spans="1:28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851b35d3-0456-4d6a-bc2f-da927e91d158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www.w3.org/XML/1998/namespace"/>
    <ds:schemaRef ds:uri="http://purl.org/dc/dcmitype/"/>
    <ds:schemaRef ds:uri="http://schemas.microsoft.com/office/infopath/2007/PartnerControls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jusousa632@gmail.com</cp:lastModifiedBy>
  <dcterms:created xsi:type="dcterms:W3CDTF">2024-12-19T13:13:10Z</dcterms:created>
  <dcterms:modified xsi:type="dcterms:W3CDTF">2026-10-12T18:35:45Z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